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Personal\"/>
    </mc:Choice>
  </mc:AlternateContent>
  <xr:revisionPtr revIDLastSave="0" documentId="8_{AB346785-564A-49B1-B261-741E61321F67}" xr6:coauthVersionLast="47" xr6:coauthVersionMax="47" xr10:uidLastSave="{00000000-0000-0000-0000-000000000000}"/>
  <bookViews>
    <workbookView xWindow="-57720" yWindow="7725" windowWidth="29040" windowHeight="15720" tabRatio="500" xr2:uid="{00000000-000D-0000-FFFF-FFFF00000000}"/>
  </bookViews>
  <sheets>
    <sheet name="Heat Map" sheetId="1" r:id="rId1"/>
    <sheet name="Sheet4" sheetId="10" r:id="rId2"/>
    <sheet name="413 Prediction vs Actual" sheetId="2" r:id="rId3"/>
    <sheet name="414 Prediction vs Actual" sheetId="5" r:id="rId4"/>
    <sheet name="415 Prediction vs Actual" sheetId="6" r:id="rId5"/>
    <sheet name="416 Prediction vs Actual " sheetId="8" r:id="rId6"/>
    <sheet name="Sheet3" sheetId="9" r:id="rId7"/>
    <sheet name="Calc" sheetId="3" state="hidden" r:id="rId8"/>
  </sheets>
  <calcPr calcId="191028" iterateDelta="1E-4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10" l="1"/>
  <c r="C12" i="10"/>
  <c r="D14" i="10"/>
  <c r="AX6" i="1"/>
  <c r="AY6" i="1"/>
  <c r="AZ6" i="1"/>
  <c r="BA6" i="1"/>
  <c r="BB6" i="1"/>
  <c r="BC6" i="1"/>
  <c r="BD6" i="1"/>
  <c r="AX7" i="1"/>
  <c r="AY7" i="1"/>
  <c r="AZ7" i="1"/>
  <c r="BA7" i="1"/>
  <c r="BB7" i="1"/>
  <c r="BC7" i="1"/>
  <c r="BD7" i="1"/>
  <c r="AX8" i="1"/>
  <c r="AY8" i="1"/>
  <c r="AZ8" i="1"/>
  <c r="BA8" i="1"/>
  <c r="BB8" i="1"/>
  <c r="BC8" i="1"/>
  <c r="BD8" i="1"/>
  <c r="AX9" i="1"/>
  <c r="AY9" i="1"/>
  <c r="AZ9" i="1"/>
  <c r="BA9" i="1"/>
  <c r="BB9" i="1"/>
  <c r="BC9" i="1"/>
  <c r="BD9" i="1"/>
  <c r="AX10" i="1"/>
  <c r="AY10" i="1"/>
  <c r="AZ10" i="1"/>
  <c r="BA10" i="1"/>
  <c r="BB10" i="1"/>
  <c r="BC10" i="1"/>
  <c r="BD10" i="1"/>
  <c r="AX11" i="1"/>
  <c r="AY11" i="1"/>
  <c r="AZ11" i="1"/>
  <c r="BA11" i="1"/>
  <c r="BB11" i="1"/>
  <c r="BC11" i="1"/>
  <c r="BD11" i="1"/>
  <c r="AX12" i="1"/>
  <c r="AY12" i="1"/>
  <c r="AZ12" i="1"/>
  <c r="BA12" i="1"/>
  <c r="BB12" i="1"/>
  <c r="BC12" i="1"/>
  <c r="BD12" i="1"/>
  <c r="AX13" i="1"/>
  <c r="AY13" i="1"/>
  <c r="AZ13" i="1"/>
  <c r="BA13" i="1"/>
  <c r="BB13" i="1"/>
  <c r="BC13" i="1"/>
  <c r="BD13" i="1"/>
  <c r="AX14" i="1"/>
  <c r="AY14" i="1"/>
  <c r="AZ14" i="1"/>
  <c r="BA14" i="1"/>
  <c r="BB14" i="1"/>
  <c r="BC14" i="1"/>
  <c r="BD14" i="1"/>
  <c r="AX15" i="1"/>
  <c r="AY15" i="1"/>
  <c r="AZ15" i="1"/>
  <c r="BA15" i="1"/>
  <c r="BB15" i="1"/>
  <c r="BC15" i="1"/>
  <c r="BD15" i="1"/>
  <c r="AX16" i="1"/>
  <c r="AY16" i="1"/>
  <c r="AZ16" i="1"/>
  <c r="BA16" i="1"/>
  <c r="BB16" i="1"/>
  <c r="BC16" i="1"/>
  <c r="BD16" i="1"/>
  <c r="AX17" i="1"/>
  <c r="AY17" i="1"/>
  <c r="AZ17" i="1"/>
  <c r="BA17" i="1"/>
  <c r="BB17" i="1"/>
  <c r="BC17" i="1"/>
  <c r="BD17" i="1"/>
  <c r="AX18" i="1"/>
  <c r="AY18" i="1"/>
  <c r="AZ18" i="1"/>
  <c r="BA18" i="1"/>
  <c r="BB18" i="1"/>
  <c r="BC18" i="1"/>
  <c r="BD18" i="1"/>
  <c r="AX19" i="1"/>
  <c r="AY19" i="1"/>
  <c r="AZ19" i="1"/>
  <c r="BA19" i="1"/>
  <c r="BB19" i="1"/>
  <c r="BC19" i="1"/>
  <c r="BD19" i="1"/>
  <c r="AX20" i="1"/>
  <c r="AY20" i="1"/>
  <c r="AZ20" i="1"/>
  <c r="BA20" i="1"/>
  <c r="BB20" i="1"/>
  <c r="BC20" i="1"/>
  <c r="BD20" i="1"/>
  <c r="AX21" i="1"/>
  <c r="AY21" i="1"/>
  <c r="AZ21" i="1"/>
  <c r="BA21" i="1"/>
  <c r="BB21" i="1"/>
  <c r="BC21" i="1"/>
  <c r="BD21" i="1"/>
  <c r="AX22" i="1"/>
  <c r="AY22" i="1"/>
  <c r="AZ22" i="1"/>
  <c r="BA22" i="1"/>
  <c r="BB22" i="1"/>
  <c r="BC22" i="1"/>
  <c r="BD22" i="1"/>
  <c r="AX23" i="1"/>
  <c r="AY23" i="1"/>
  <c r="AZ23" i="1"/>
  <c r="BA23" i="1"/>
  <c r="BB23" i="1"/>
  <c r="BC23" i="1"/>
  <c r="BD23" i="1"/>
  <c r="AX24" i="1"/>
  <c r="AY24" i="1"/>
  <c r="AZ24" i="1"/>
  <c r="BA24" i="1"/>
  <c r="BB24" i="1"/>
  <c r="BC24" i="1"/>
  <c r="BD24" i="1"/>
  <c r="AX25" i="1"/>
  <c r="AY25" i="1"/>
  <c r="AZ25" i="1"/>
  <c r="BA25" i="1"/>
  <c r="BB25" i="1"/>
  <c r="BC25" i="1"/>
  <c r="BD25" i="1"/>
  <c r="AX26" i="1"/>
  <c r="AY26" i="1"/>
  <c r="AZ26" i="1"/>
  <c r="BA26" i="1"/>
  <c r="BB26" i="1"/>
  <c r="BC26" i="1"/>
  <c r="BD26" i="1"/>
  <c r="AX27" i="1"/>
  <c r="AY27" i="1"/>
  <c r="AZ27" i="1"/>
  <c r="BA27" i="1"/>
  <c r="BB27" i="1"/>
  <c r="BC27" i="1"/>
  <c r="BD27" i="1"/>
  <c r="AX28" i="1"/>
  <c r="AY28" i="1"/>
  <c r="AZ28" i="1"/>
  <c r="BA28" i="1"/>
  <c r="BB28" i="1"/>
  <c r="BC28" i="1"/>
  <c r="BD28" i="1"/>
  <c r="AX29" i="1"/>
  <c r="AY29" i="1"/>
  <c r="AZ29" i="1"/>
  <c r="BA29" i="1"/>
  <c r="BB29" i="1"/>
  <c r="BC29" i="1"/>
  <c r="BD29" i="1"/>
  <c r="AX30" i="1"/>
  <c r="AY30" i="1"/>
  <c r="AZ30" i="1"/>
  <c r="BA30" i="1"/>
  <c r="BB30" i="1"/>
  <c r="BC30" i="1"/>
  <c r="BD30" i="1"/>
  <c r="AX31" i="1"/>
  <c r="AY31" i="1"/>
  <c r="AZ31" i="1"/>
  <c r="BA31" i="1"/>
  <c r="BB31" i="1"/>
  <c r="BC31" i="1"/>
  <c r="BD31" i="1"/>
  <c r="AX32" i="1"/>
  <c r="AY32" i="1"/>
  <c r="AZ32" i="1"/>
  <c r="BA32" i="1"/>
  <c r="BB32" i="1"/>
  <c r="BC32" i="1"/>
  <c r="BD32" i="1"/>
  <c r="AX33" i="1"/>
  <c r="AY33" i="1"/>
  <c r="AZ33" i="1"/>
  <c r="BA33" i="1"/>
  <c r="BB33" i="1"/>
  <c r="BC33" i="1"/>
  <c r="BD33" i="1"/>
  <c r="AX34" i="1"/>
  <c r="AY34" i="1"/>
  <c r="AZ34" i="1"/>
  <c r="BA34" i="1"/>
  <c r="BB34" i="1"/>
  <c r="BC34" i="1"/>
  <c r="BD34" i="1"/>
  <c r="AX35" i="1"/>
  <c r="AY35" i="1"/>
  <c r="AZ35" i="1"/>
  <c r="BA35" i="1"/>
  <c r="BB35" i="1"/>
  <c r="BC35" i="1"/>
  <c r="BD35" i="1"/>
  <c r="AX36" i="1"/>
  <c r="AY36" i="1"/>
  <c r="AZ36" i="1"/>
  <c r="BA36" i="1"/>
  <c r="BB36" i="1"/>
  <c r="BC36" i="1"/>
  <c r="BD36" i="1"/>
  <c r="AX37" i="1"/>
  <c r="AY37" i="1"/>
  <c r="AZ37" i="1"/>
  <c r="BA37" i="1"/>
  <c r="BB37" i="1"/>
  <c r="BC37" i="1"/>
  <c r="BD37" i="1"/>
  <c r="AX38" i="1"/>
  <c r="AY38" i="1"/>
  <c r="AZ38" i="1"/>
  <c r="BA38" i="1"/>
  <c r="BB38" i="1"/>
  <c r="BC38" i="1"/>
  <c r="BD38" i="1"/>
  <c r="AX39" i="1"/>
  <c r="AY39" i="1"/>
  <c r="AZ39" i="1"/>
  <c r="BA39" i="1"/>
  <c r="BB39" i="1"/>
  <c r="BC39" i="1"/>
  <c r="BD39" i="1"/>
  <c r="AX40" i="1"/>
  <c r="AY40" i="1"/>
  <c r="AZ40" i="1"/>
  <c r="BA40" i="1"/>
  <c r="BB40" i="1"/>
  <c r="BC40" i="1"/>
  <c r="BD40" i="1"/>
  <c r="AX41" i="1"/>
  <c r="AY41" i="1"/>
  <c r="AZ41" i="1"/>
  <c r="BA41" i="1"/>
  <c r="BB41" i="1"/>
  <c r="BC41" i="1"/>
  <c r="BD41" i="1"/>
  <c r="AX42" i="1"/>
  <c r="AY42" i="1"/>
  <c r="AZ42" i="1"/>
  <c r="BA42" i="1"/>
  <c r="BB42" i="1"/>
  <c r="BC42" i="1"/>
  <c r="BD42" i="1"/>
  <c r="AX43" i="1"/>
  <c r="AY43" i="1"/>
  <c r="AZ43" i="1"/>
  <c r="BA43" i="1"/>
  <c r="BB43" i="1"/>
  <c r="BC43" i="1"/>
  <c r="BD43" i="1"/>
  <c r="AX44" i="1"/>
  <c r="AY44" i="1"/>
  <c r="AZ44" i="1"/>
  <c r="BA44" i="1"/>
  <c r="BB44" i="1"/>
  <c r="BC44" i="1"/>
  <c r="BD44" i="1"/>
  <c r="AX45" i="1"/>
  <c r="AY45" i="1"/>
  <c r="AZ45" i="1"/>
  <c r="BA45" i="1"/>
  <c r="BB45" i="1"/>
  <c r="BC45" i="1"/>
  <c r="BD45" i="1"/>
  <c r="AX46" i="1"/>
  <c r="AY46" i="1"/>
  <c r="AZ46" i="1"/>
  <c r="BA46" i="1"/>
  <c r="BB46" i="1"/>
  <c r="BC46" i="1"/>
  <c r="BD46" i="1"/>
  <c r="AX47" i="1"/>
  <c r="AY47" i="1"/>
  <c r="AZ47" i="1"/>
  <c r="BA47" i="1"/>
  <c r="BB47" i="1"/>
  <c r="BC47" i="1"/>
  <c r="BD47" i="1"/>
  <c r="AX48" i="1"/>
  <c r="AY48" i="1"/>
  <c r="AZ48" i="1"/>
  <c r="BA48" i="1"/>
  <c r="BB48" i="1"/>
  <c r="BC48" i="1"/>
  <c r="BD48" i="1"/>
  <c r="AX49" i="1"/>
  <c r="AY49" i="1"/>
  <c r="AZ49" i="1"/>
  <c r="BA49" i="1"/>
  <c r="BB49" i="1"/>
  <c r="BC49" i="1"/>
  <c r="BD49" i="1"/>
  <c r="AX50" i="1"/>
  <c r="AY50" i="1"/>
  <c r="AZ50" i="1"/>
  <c r="BA50" i="1"/>
  <c r="BB50" i="1"/>
  <c r="BC50" i="1"/>
  <c r="BD50" i="1"/>
  <c r="AX51" i="1"/>
  <c r="AY51" i="1"/>
  <c r="AZ51" i="1"/>
  <c r="BA51" i="1"/>
  <c r="BB51" i="1"/>
  <c r="BC51" i="1"/>
  <c r="BD51" i="1"/>
  <c r="AX52" i="1"/>
  <c r="AY52" i="1"/>
  <c r="AZ52" i="1"/>
  <c r="BA52" i="1"/>
  <c r="BB52" i="1"/>
  <c r="BC52" i="1"/>
  <c r="BD52" i="1"/>
  <c r="AX53" i="1"/>
  <c r="AY53" i="1"/>
  <c r="AZ53" i="1"/>
  <c r="BA53" i="1"/>
  <c r="BB53" i="1"/>
  <c r="BC53" i="1"/>
  <c r="BD53" i="1"/>
  <c r="AX54" i="1"/>
  <c r="AY54" i="1"/>
  <c r="AZ54" i="1"/>
  <c r="BA54" i="1"/>
  <c r="BB54" i="1"/>
  <c r="BC54" i="1"/>
  <c r="BD54" i="1"/>
  <c r="AX55" i="1"/>
  <c r="AY55" i="1"/>
  <c r="AZ55" i="1"/>
  <c r="BA55" i="1"/>
  <c r="BB55" i="1"/>
  <c r="BC55" i="1"/>
  <c r="BD55" i="1"/>
  <c r="AX56" i="1"/>
  <c r="AY56" i="1"/>
  <c r="AZ56" i="1"/>
  <c r="BA56" i="1"/>
  <c r="BB56" i="1"/>
  <c r="BC56" i="1"/>
  <c r="BD56" i="1"/>
  <c r="AX57" i="1"/>
  <c r="AY57" i="1"/>
  <c r="AZ57" i="1"/>
  <c r="BA57" i="1"/>
  <c r="BB57" i="1"/>
  <c r="BC57" i="1"/>
  <c r="BD57" i="1"/>
  <c r="AX58" i="1"/>
  <c r="AY58" i="1"/>
  <c r="AZ58" i="1"/>
  <c r="BA58" i="1"/>
  <c r="BB58" i="1"/>
  <c r="BC58" i="1"/>
  <c r="BD58" i="1"/>
  <c r="AX59" i="1"/>
  <c r="AY59" i="1"/>
  <c r="AZ59" i="1"/>
  <c r="BA59" i="1"/>
  <c r="BB59" i="1"/>
  <c r="BC59" i="1"/>
  <c r="BD59" i="1"/>
  <c r="AX60" i="1"/>
  <c r="AY60" i="1"/>
  <c r="AZ60" i="1"/>
  <c r="BA60" i="1"/>
  <c r="BB60" i="1"/>
  <c r="BC60" i="1"/>
  <c r="BD60" i="1"/>
  <c r="AX61" i="1"/>
  <c r="AY61" i="1"/>
  <c r="AZ61" i="1"/>
  <c r="BA61" i="1"/>
  <c r="BB61" i="1"/>
  <c r="BC61" i="1"/>
  <c r="BD61" i="1"/>
  <c r="AX62" i="1"/>
  <c r="AY62" i="1"/>
  <c r="AZ62" i="1"/>
  <c r="BA62" i="1"/>
  <c r="BB62" i="1"/>
  <c r="BC62" i="1"/>
  <c r="BD62" i="1"/>
  <c r="AX63" i="1"/>
  <c r="AY63" i="1"/>
  <c r="AZ63" i="1"/>
  <c r="BA63" i="1"/>
  <c r="BB63" i="1"/>
  <c r="BC63" i="1"/>
  <c r="BD63" i="1"/>
  <c r="AX64" i="1"/>
  <c r="AY64" i="1"/>
  <c r="AZ64" i="1"/>
  <c r="BA64" i="1"/>
  <c r="BB64" i="1"/>
  <c r="BC64" i="1"/>
  <c r="BD64" i="1"/>
  <c r="AX65" i="1"/>
  <c r="AY65" i="1"/>
  <c r="AZ65" i="1"/>
  <c r="BA65" i="1"/>
  <c r="BB65" i="1"/>
  <c r="BC65" i="1"/>
  <c r="BD65" i="1"/>
  <c r="AX66" i="1"/>
  <c r="AY66" i="1"/>
  <c r="AZ66" i="1"/>
  <c r="BA66" i="1"/>
  <c r="BB66" i="1"/>
  <c r="BC66" i="1"/>
  <c r="BD66" i="1"/>
  <c r="AX67" i="1"/>
  <c r="AY67" i="1"/>
  <c r="AZ67" i="1"/>
  <c r="BA67" i="1"/>
  <c r="BB67" i="1"/>
  <c r="BC67" i="1"/>
  <c r="BD67" i="1"/>
  <c r="AX68" i="1"/>
  <c r="AY68" i="1"/>
  <c r="AZ68" i="1"/>
  <c r="BA68" i="1"/>
  <c r="BB68" i="1"/>
  <c r="BC68" i="1"/>
  <c r="BD68" i="1"/>
  <c r="AX69" i="1"/>
  <c r="AY69" i="1"/>
  <c r="AZ69" i="1"/>
  <c r="BA69" i="1"/>
  <c r="BB69" i="1"/>
  <c r="BC69" i="1"/>
  <c r="BD69" i="1"/>
  <c r="AX70" i="1"/>
  <c r="AY70" i="1"/>
  <c r="AZ70" i="1"/>
  <c r="BA70" i="1"/>
  <c r="BB70" i="1"/>
  <c r="BC70" i="1"/>
  <c r="BD70" i="1"/>
  <c r="AX71" i="1"/>
  <c r="AY71" i="1"/>
  <c r="AZ71" i="1"/>
  <c r="BA71" i="1"/>
  <c r="BB71" i="1"/>
  <c r="BC71" i="1"/>
  <c r="BD71" i="1"/>
  <c r="AX72" i="1"/>
  <c r="AY72" i="1"/>
  <c r="AZ72" i="1"/>
  <c r="BA72" i="1"/>
  <c r="BB72" i="1"/>
  <c r="BC72" i="1"/>
  <c r="BD72" i="1"/>
  <c r="AX73" i="1"/>
  <c r="AY73" i="1"/>
  <c r="AZ73" i="1"/>
  <c r="BA73" i="1"/>
  <c r="BB73" i="1"/>
  <c r="BC73" i="1"/>
  <c r="BD73" i="1"/>
  <c r="AX74" i="1"/>
  <c r="AY74" i="1"/>
  <c r="AZ74" i="1"/>
  <c r="BA74" i="1"/>
  <c r="BB74" i="1"/>
  <c r="BC74" i="1"/>
  <c r="BD74" i="1"/>
  <c r="AX75" i="1"/>
  <c r="AY75" i="1"/>
  <c r="AZ75" i="1"/>
  <c r="BA75" i="1"/>
  <c r="BB75" i="1"/>
  <c r="BC75" i="1"/>
  <c r="BD75" i="1"/>
  <c r="AX76" i="1"/>
  <c r="AY76" i="1"/>
  <c r="AZ76" i="1"/>
  <c r="BA76" i="1"/>
  <c r="BB76" i="1"/>
  <c r="BC76" i="1"/>
  <c r="BD76" i="1"/>
  <c r="AX77" i="1"/>
  <c r="AY77" i="1"/>
  <c r="AZ77" i="1"/>
  <c r="BA77" i="1"/>
  <c r="BB77" i="1"/>
  <c r="BC77" i="1"/>
  <c r="BD77" i="1"/>
  <c r="AX78" i="1"/>
  <c r="AY78" i="1"/>
  <c r="AZ78" i="1"/>
  <c r="BA78" i="1"/>
  <c r="BB78" i="1"/>
  <c r="BC78" i="1"/>
  <c r="BD78" i="1"/>
  <c r="AX79" i="1"/>
  <c r="AY79" i="1"/>
  <c r="AZ79" i="1"/>
  <c r="BA79" i="1"/>
  <c r="BB79" i="1"/>
  <c r="BC79" i="1"/>
  <c r="BD79" i="1"/>
  <c r="AX80" i="1"/>
  <c r="AY80" i="1"/>
  <c r="AZ80" i="1"/>
  <c r="BA80" i="1"/>
  <c r="BB80" i="1"/>
  <c r="BC80" i="1"/>
  <c r="BD80" i="1"/>
  <c r="AX81" i="1"/>
  <c r="AY81" i="1"/>
  <c r="AZ81" i="1"/>
  <c r="BA81" i="1"/>
  <c r="BB81" i="1"/>
  <c r="BC81" i="1"/>
  <c r="BD81" i="1"/>
  <c r="AX82" i="1"/>
  <c r="AY82" i="1"/>
  <c r="AZ82" i="1"/>
  <c r="BA82" i="1"/>
  <c r="BB82" i="1"/>
  <c r="BC82" i="1"/>
  <c r="BD82" i="1"/>
  <c r="AX83" i="1"/>
  <c r="AY83" i="1"/>
  <c r="AZ83" i="1"/>
  <c r="BA83" i="1"/>
  <c r="BB83" i="1"/>
  <c r="BC83" i="1"/>
  <c r="BD83" i="1"/>
  <c r="AX84" i="1"/>
  <c r="AY84" i="1"/>
  <c r="AZ84" i="1"/>
  <c r="BA84" i="1"/>
  <c r="BB84" i="1"/>
  <c r="BC84" i="1"/>
  <c r="BD84" i="1"/>
  <c r="AX85" i="1"/>
  <c r="AY85" i="1"/>
  <c r="AZ85" i="1"/>
  <c r="BA85" i="1"/>
  <c r="BB85" i="1"/>
  <c r="BC85" i="1"/>
  <c r="BD85" i="1"/>
  <c r="AX86" i="1"/>
  <c r="AY86" i="1"/>
  <c r="AZ86" i="1"/>
  <c r="BA86" i="1"/>
  <c r="BB86" i="1"/>
  <c r="BC86" i="1"/>
  <c r="BD86" i="1"/>
  <c r="AX87" i="1"/>
  <c r="AY87" i="1"/>
  <c r="AZ87" i="1"/>
  <c r="BA87" i="1"/>
  <c r="BB87" i="1"/>
  <c r="BC87" i="1"/>
  <c r="BD87" i="1"/>
  <c r="AX88" i="1"/>
  <c r="AY88" i="1"/>
  <c r="AZ88" i="1"/>
  <c r="BA88" i="1"/>
  <c r="BB88" i="1"/>
  <c r="BC88" i="1"/>
  <c r="BD88" i="1"/>
  <c r="AX89" i="1"/>
  <c r="AY89" i="1"/>
  <c r="AZ89" i="1"/>
  <c r="BA89" i="1"/>
  <c r="BB89" i="1"/>
  <c r="BC89" i="1"/>
  <c r="BD89" i="1"/>
  <c r="AX90" i="1"/>
  <c r="AY90" i="1"/>
  <c r="AZ90" i="1"/>
  <c r="BA90" i="1"/>
  <c r="BB90" i="1"/>
  <c r="BC90" i="1"/>
  <c r="BD90" i="1"/>
  <c r="AX91" i="1"/>
  <c r="AY91" i="1"/>
  <c r="AZ91" i="1"/>
  <c r="BA91" i="1"/>
  <c r="BB91" i="1"/>
  <c r="BC91" i="1"/>
  <c r="BD91" i="1"/>
  <c r="AX92" i="1"/>
  <c r="AY92" i="1"/>
  <c r="AZ92" i="1"/>
  <c r="BA92" i="1"/>
  <c r="BB92" i="1"/>
  <c r="BC92" i="1"/>
  <c r="BD92" i="1"/>
  <c r="AX93" i="1"/>
  <c r="AY93" i="1"/>
  <c r="AZ93" i="1"/>
  <c r="BA93" i="1"/>
  <c r="BB93" i="1"/>
  <c r="BC93" i="1"/>
  <c r="BD93" i="1"/>
  <c r="AX94" i="1"/>
  <c r="AY94" i="1"/>
  <c r="AZ94" i="1"/>
  <c r="BA94" i="1"/>
  <c r="BB94" i="1"/>
  <c r="BC94" i="1"/>
  <c r="BD94" i="1"/>
  <c r="AX95" i="1"/>
  <c r="AY95" i="1"/>
  <c r="AZ95" i="1"/>
  <c r="BA95" i="1"/>
  <c r="BB95" i="1"/>
  <c r="BC95" i="1"/>
  <c r="BD95" i="1"/>
  <c r="AX96" i="1"/>
  <c r="AY96" i="1"/>
  <c r="AZ96" i="1"/>
  <c r="BA96" i="1"/>
  <c r="BB96" i="1"/>
  <c r="BC96" i="1"/>
  <c r="BD96" i="1"/>
  <c r="AX97" i="1"/>
  <c r="AY97" i="1"/>
  <c r="AZ97" i="1"/>
  <c r="BA97" i="1"/>
  <c r="BB97" i="1"/>
  <c r="BC97" i="1"/>
  <c r="BD97" i="1"/>
  <c r="AX98" i="1"/>
  <c r="AY98" i="1"/>
  <c r="AZ98" i="1"/>
  <c r="BA98" i="1"/>
  <c r="BB98" i="1"/>
  <c r="BC98" i="1"/>
  <c r="BD98" i="1"/>
  <c r="AX99" i="1"/>
  <c r="AY99" i="1"/>
  <c r="AZ99" i="1"/>
  <c r="BA99" i="1"/>
  <c r="BB99" i="1"/>
  <c r="BC99" i="1"/>
  <c r="BD99" i="1"/>
  <c r="AX100" i="1"/>
  <c r="AY100" i="1"/>
  <c r="AZ100" i="1"/>
  <c r="BA100" i="1"/>
  <c r="BB100" i="1"/>
  <c r="BC100" i="1"/>
  <c r="BD100" i="1"/>
  <c r="AX101" i="1"/>
  <c r="AY101" i="1"/>
  <c r="AZ101" i="1"/>
  <c r="BA101" i="1"/>
  <c r="BB101" i="1"/>
  <c r="BC101" i="1"/>
  <c r="BD101" i="1"/>
  <c r="AX102" i="1"/>
  <c r="AY102" i="1"/>
  <c r="AZ102" i="1"/>
  <c r="BA102" i="1"/>
  <c r="BB102" i="1"/>
  <c r="BC102" i="1"/>
  <c r="BD102" i="1"/>
  <c r="AX103" i="1"/>
  <c r="AY103" i="1"/>
  <c r="AZ103" i="1"/>
  <c r="BA103" i="1"/>
  <c r="BB103" i="1"/>
  <c r="BC103" i="1"/>
  <c r="BD103" i="1"/>
  <c r="AX104" i="1"/>
  <c r="AY104" i="1"/>
  <c r="AZ104" i="1"/>
  <c r="BA104" i="1"/>
  <c r="BB104" i="1"/>
  <c r="BC104" i="1"/>
  <c r="BD104" i="1"/>
  <c r="AX105" i="1"/>
  <c r="AY105" i="1"/>
  <c r="AZ105" i="1"/>
  <c r="BA105" i="1"/>
  <c r="BB105" i="1"/>
  <c r="BC105" i="1"/>
  <c r="BD105" i="1"/>
  <c r="AX106" i="1"/>
  <c r="AY106" i="1"/>
  <c r="AZ106" i="1"/>
  <c r="BA106" i="1"/>
  <c r="BB106" i="1"/>
  <c r="BC106" i="1"/>
  <c r="BD106" i="1"/>
  <c r="AX107" i="1"/>
  <c r="AY107" i="1"/>
  <c r="AZ107" i="1"/>
  <c r="BA107" i="1"/>
  <c r="BB107" i="1"/>
  <c r="BC107" i="1"/>
  <c r="BD107" i="1"/>
  <c r="AX108" i="1"/>
  <c r="AY108" i="1"/>
  <c r="AZ108" i="1"/>
  <c r="BA108" i="1"/>
  <c r="BB108" i="1"/>
  <c r="BC108" i="1"/>
  <c r="BD108" i="1"/>
  <c r="AX109" i="1"/>
  <c r="AY109" i="1"/>
  <c r="AZ109" i="1"/>
  <c r="BA109" i="1"/>
  <c r="BB109" i="1"/>
  <c r="BC109" i="1"/>
  <c r="BD109" i="1"/>
  <c r="AX110" i="1"/>
  <c r="AY110" i="1"/>
  <c r="AZ110" i="1"/>
  <c r="BA110" i="1"/>
  <c r="BB110" i="1"/>
  <c r="BC110" i="1"/>
  <c r="BD110" i="1"/>
  <c r="AX111" i="1"/>
  <c r="AY111" i="1"/>
  <c r="AZ111" i="1"/>
  <c r="BA111" i="1"/>
  <c r="BB111" i="1"/>
  <c r="BC111" i="1"/>
  <c r="BD111" i="1"/>
  <c r="AX112" i="1"/>
  <c r="AY112" i="1"/>
  <c r="AZ112" i="1"/>
  <c r="BA112" i="1"/>
  <c r="BB112" i="1"/>
  <c r="BC112" i="1"/>
  <c r="BD112" i="1"/>
  <c r="AY5" i="1"/>
  <c r="AZ5" i="1"/>
  <c r="BA5" i="1"/>
  <c r="BB5" i="1"/>
  <c r="BC5" i="1"/>
  <c r="BD5" i="1"/>
  <c r="AX5" i="1"/>
  <c r="AV112" i="8"/>
  <c r="AU112" i="8"/>
  <c r="AT112" i="8"/>
  <c r="AS112" i="8"/>
  <c r="AR112" i="8"/>
  <c r="AQ112" i="8"/>
  <c r="AP112" i="8"/>
  <c r="AV111" i="8"/>
  <c r="AU111" i="8"/>
  <c r="AT111" i="8"/>
  <c r="AS111" i="8"/>
  <c r="AR111" i="8"/>
  <c r="AQ111" i="8"/>
  <c r="AP111" i="8"/>
  <c r="AV110" i="8"/>
  <c r="AU110" i="8"/>
  <c r="AT110" i="8"/>
  <c r="AS110" i="8"/>
  <c r="AR110" i="8"/>
  <c r="AQ110" i="8"/>
  <c r="AP110" i="8"/>
  <c r="AV109" i="8"/>
  <c r="AU109" i="8"/>
  <c r="AT109" i="8"/>
  <c r="AS109" i="8"/>
  <c r="AR109" i="8"/>
  <c r="AQ109" i="8"/>
  <c r="AP109" i="8"/>
  <c r="AV108" i="8"/>
  <c r="AU108" i="8"/>
  <c r="AT108" i="8"/>
  <c r="AS108" i="8"/>
  <c r="AR108" i="8"/>
  <c r="AQ108" i="8"/>
  <c r="AP108" i="8"/>
  <c r="AV107" i="8"/>
  <c r="AU107" i="8"/>
  <c r="AT107" i="8"/>
  <c r="AS107" i="8"/>
  <c r="AR107" i="8"/>
  <c r="AQ107" i="8"/>
  <c r="AP107" i="8"/>
  <c r="AV106" i="8"/>
  <c r="AU106" i="8"/>
  <c r="AT106" i="8"/>
  <c r="AS106" i="8"/>
  <c r="AR106" i="8"/>
  <c r="AQ106" i="8"/>
  <c r="AP106" i="8"/>
  <c r="AV105" i="8"/>
  <c r="AU105" i="8"/>
  <c r="AT105" i="8"/>
  <c r="AS105" i="8"/>
  <c r="AR105" i="8"/>
  <c r="AQ105" i="8"/>
  <c r="AP105" i="8"/>
  <c r="AV104" i="8"/>
  <c r="AU104" i="8"/>
  <c r="AT104" i="8"/>
  <c r="AS104" i="8"/>
  <c r="AR104" i="8"/>
  <c r="AQ104" i="8"/>
  <c r="AP104" i="8"/>
  <c r="AV103" i="8"/>
  <c r="AU103" i="8"/>
  <c r="AT103" i="8"/>
  <c r="AS103" i="8"/>
  <c r="AR103" i="8"/>
  <c r="AQ103" i="8"/>
  <c r="AP103" i="8"/>
  <c r="AV102" i="8"/>
  <c r="AU102" i="8"/>
  <c r="AT102" i="8"/>
  <c r="AS102" i="8"/>
  <c r="AR102" i="8"/>
  <c r="AQ102" i="8"/>
  <c r="AP102" i="8"/>
  <c r="AV101" i="8"/>
  <c r="AU101" i="8"/>
  <c r="AT101" i="8"/>
  <c r="AS101" i="8"/>
  <c r="AR101" i="8"/>
  <c r="AQ101" i="8"/>
  <c r="AP101" i="8"/>
  <c r="AV100" i="8"/>
  <c r="AU100" i="8"/>
  <c r="AT100" i="8"/>
  <c r="AS100" i="8"/>
  <c r="AR100" i="8"/>
  <c r="AQ100" i="8"/>
  <c r="AP100" i="8"/>
  <c r="AV99" i="8"/>
  <c r="AU99" i="8"/>
  <c r="AT99" i="8"/>
  <c r="AS99" i="8"/>
  <c r="AR99" i="8"/>
  <c r="AQ99" i="8"/>
  <c r="AP99" i="8"/>
  <c r="AV98" i="8"/>
  <c r="AU98" i="8"/>
  <c r="AT98" i="8"/>
  <c r="AS98" i="8"/>
  <c r="AR98" i="8"/>
  <c r="AQ98" i="8"/>
  <c r="AP98" i="8"/>
  <c r="AV97" i="8"/>
  <c r="AU97" i="8"/>
  <c r="AT97" i="8"/>
  <c r="AS97" i="8"/>
  <c r="AR97" i="8"/>
  <c r="AQ97" i="8"/>
  <c r="AP97" i="8"/>
  <c r="AV96" i="8"/>
  <c r="AU96" i="8"/>
  <c r="AT96" i="8"/>
  <c r="AS96" i="8"/>
  <c r="AR96" i="8"/>
  <c r="AQ96" i="8"/>
  <c r="AP96" i="8"/>
  <c r="AV95" i="8"/>
  <c r="AU95" i="8"/>
  <c r="AT95" i="8"/>
  <c r="AS95" i="8"/>
  <c r="AR95" i="8"/>
  <c r="AQ95" i="8"/>
  <c r="AP95" i="8"/>
  <c r="AV94" i="8"/>
  <c r="AU94" i="8"/>
  <c r="AT94" i="8"/>
  <c r="AS94" i="8"/>
  <c r="AR94" i="8"/>
  <c r="AQ94" i="8"/>
  <c r="AP94" i="8"/>
  <c r="AV93" i="8"/>
  <c r="AU93" i="8"/>
  <c r="AT93" i="8"/>
  <c r="AS93" i="8"/>
  <c r="AR93" i="8"/>
  <c r="AQ93" i="8"/>
  <c r="AP93" i="8"/>
  <c r="AV92" i="8"/>
  <c r="AU92" i="8"/>
  <c r="AT92" i="8"/>
  <c r="AS92" i="8"/>
  <c r="AR92" i="8"/>
  <c r="AQ92" i="8"/>
  <c r="AP92" i="8"/>
  <c r="AV91" i="8"/>
  <c r="AU91" i="8"/>
  <c r="AT91" i="8"/>
  <c r="AS91" i="8"/>
  <c r="AR91" i="8"/>
  <c r="AQ91" i="8"/>
  <c r="AP91" i="8"/>
  <c r="AV90" i="8"/>
  <c r="AU90" i="8"/>
  <c r="AT90" i="8"/>
  <c r="AS90" i="8"/>
  <c r="AR90" i="8"/>
  <c r="AQ90" i="8"/>
  <c r="AP90" i="8"/>
  <c r="AV89" i="8"/>
  <c r="AU89" i="8"/>
  <c r="AT89" i="8"/>
  <c r="AS89" i="8"/>
  <c r="AR89" i="8"/>
  <c r="AQ89" i="8"/>
  <c r="AP89" i="8"/>
  <c r="AV88" i="8"/>
  <c r="AU88" i="8"/>
  <c r="AT88" i="8"/>
  <c r="AS88" i="8"/>
  <c r="AR88" i="8"/>
  <c r="AQ88" i="8"/>
  <c r="AP88" i="8"/>
  <c r="AV87" i="8"/>
  <c r="AU87" i="8"/>
  <c r="AT87" i="8"/>
  <c r="AS87" i="8"/>
  <c r="AR87" i="8"/>
  <c r="AQ87" i="8"/>
  <c r="AP87" i="8"/>
  <c r="AV86" i="8"/>
  <c r="AU86" i="8"/>
  <c r="AT86" i="8"/>
  <c r="AS86" i="8"/>
  <c r="AR86" i="8"/>
  <c r="AQ86" i="8"/>
  <c r="AP86" i="8"/>
  <c r="AV85" i="8"/>
  <c r="AU85" i="8"/>
  <c r="AT85" i="8"/>
  <c r="AS85" i="8"/>
  <c r="AR85" i="8"/>
  <c r="AQ85" i="8"/>
  <c r="AP85" i="8"/>
  <c r="AV84" i="8"/>
  <c r="AU84" i="8"/>
  <c r="AT84" i="8"/>
  <c r="AS84" i="8"/>
  <c r="AR84" i="8"/>
  <c r="AQ84" i="8"/>
  <c r="AP84" i="8"/>
  <c r="AV83" i="8"/>
  <c r="AU83" i="8"/>
  <c r="AT83" i="8"/>
  <c r="AS83" i="8"/>
  <c r="AR83" i="8"/>
  <c r="AQ83" i="8"/>
  <c r="AP83" i="8"/>
  <c r="AV82" i="8"/>
  <c r="AU82" i="8"/>
  <c r="AT82" i="8"/>
  <c r="AS82" i="8"/>
  <c r="AR82" i="8"/>
  <c r="AQ82" i="8"/>
  <c r="AP82" i="8"/>
  <c r="AV81" i="8"/>
  <c r="AU81" i="8"/>
  <c r="AT81" i="8"/>
  <c r="AS81" i="8"/>
  <c r="AR81" i="8"/>
  <c r="AQ81" i="8"/>
  <c r="AP81" i="8"/>
  <c r="AV80" i="8"/>
  <c r="AU80" i="8"/>
  <c r="AT80" i="8"/>
  <c r="AS80" i="8"/>
  <c r="AR80" i="8"/>
  <c r="AQ80" i="8"/>
  <c r="AP80" i="8"/>
  <c r="AV79" i="8"/>
  <c r="AU79" i="8"/>
  <c r="AT79" i="8"/>
  <c r="AS79" i="8"/>
  <c r="AR79" i="8"/>
  <c r="AQ79" i="8"/>
  <c r="AP79" i="8"/>
  <c r="AV78" i="8"/>
  <c r="AU78" i="8"/>
  <c r="AT78" i="8"/>
  <c r="AS78" i="8"/>
  <c r="AR78" i="8"/>
  <c r="AQ78" i="8"/>
  <c r="AP78" i="8"/>
  <c r="AV77" i="8"/>
  <c r="AU77" i="8"/>
  <c r="AT77" i="8"/>
  <c r="AS77" i="8"/>
  <c r="AR77" i="8"/>
  <c r="AQ77" i="8"/>
  <c r="AP77" i="8"/>
  <c r="AV76" i="8"/>
  <c r="AU76" i="8"/>
  <c r="AT76" i="8"/>
  <c r="AS76" i="8"/>
  <c r="AR76" i="8"/>
  <c r="AQ76" i="8"/>
  <c r="AP76" i="8"/>
  <c r="AV75" i="8"/>
  <c r="AU75" i="8"/>
  <c r="AT75" i="8"/>
  <c r="AS75" i="8"/>
  <c r="AR75" i="8"/>
  <c r="AQ75" i="8"/>
  <c r="AP75" i="8"/>
  <c r="AV74" i="8"/>
  <c r="AU74" i="8"/>
  <c r="AT74" i="8"/>
  <c r="AS74" i="8"/>
  <c r="AR74" i="8"/>
  <c r="AQ74" i="8"/>
  <c r="AP74" i="8"/>
  <c r="AV73" i="8"/>
  <c r="AU73" i="8"/>
  <c r="AT73" i="8"/>
  <c r="AS73" i="8"/>
  <c r="AR73" i="8"/>
  <c r="AQ73" i="8"/>
  <c r="AP73" i="8"/>
  <c r="AV72" i="8"/>
  <c r="AU72" i="8"/>
  <c r="AT72" i="8"/>
  <c r="AS72" i="8"/>
  <c r="AR72" i="8"/>
  <c r="AQ72" i="8"/>
  <c r="AP72" i="8"/>
  <c r="AV71" i="8"/>
  <c r="AU71" i="8"/>
  <c r="AT71" i="8"/>
  <c r="AS71" i="8"/>
  <c r="AR71" i="8"/>
  <c r="AQ71" i="8"/>
  <c r="AP71" i="8"/>
  <c r="AV70" i="8"/>
  <c r="AU70" i="8"/>
  <c r="AT70" i="8"/>
  <c r="AS70" i="8"/>
  <c r="AR70" i="8"/>
  <c r="AQ70" i="8"/>
  <c r="AP70" i="8"/>
  <c r="AV69" i="8"/>
  <c r="AU69" i="8"/>
  <c r="AT69" i="8"/>
  <c r="AS69" i="8"/>
  <c r="AR69" i="8"/>
  <c r="AQ69" i="8"/>
  <c r="AP69" i="8"/>
  <c r="AV68" i="8"/>
  <c r="AU68" i="8"/>
  <c r="AT68" i="8"/>
  <c r="AS68" i="8"/>
  <c r="AR68" i="8"/>
  <c r="AQ68" i="8"/>
  <c r="AP68" i="8"/>
  <c r="AV67" i="8"/>
  <c r="AU67" i="8"/>
  <c r="AT67" i="8"/>
  <c r="AS67" i="8"/>
  <c r="AR67" i="8"/>
  <c r="AQ67" i="8"/>
  <c r="AP67" i="8"/>
  <c r="AV66" i="8"/>
  <c r="AU66" i="8"/>
  <c r="AT66" i="8"/>
  <c r="AS66" i="8"/>
  <c r="AR66" i="8"/>
  <c r="AQ66" i="8"/>
  <c r="AP66" i="8"/>
  <c r="AV65" i="8"/>
  <c r="AU65" i="8"/>
  <c r="AT65" i="8"/>
  <c r="AS65" i="8"/>
  <c r="AR65" i="8"/>
  <c r="AQ65" i="8"/>
  <c r="AP65" i="8"/>
  <c r="BD64" i="8"/>
  <c r="AV64" i="8"/>
  <c r="AU64" i="8"/>
  <c r="AT64" i="8"/>
  <c r="AS64" i="8"/>
  <c r="AR64" i="8"/>
  <c r="AQ64" i="8"/>
  <c r="AP64" i="8"/>
  <c r="BE63" i="8"/>
  <c r="AV63" i="8"/>
  <c r="AU63" i="8"/>
  <c r="AT63" i="8"/>
  <c r="AS63" i="8"/>
  <c r="AR63" i="8"/>
  <c r="AQ63" i="8"/>
  <c r="AP63" i="8"/>
  <c r="BE62" i="8"/>
  <c r="AV62" i="8"/>
  <c r="AU62" i="8"/>
  <c r="AT62" i="8"/>
  <c r="AS62" i="8"/>
  <c r="AR62" i="8"/>
  <c r="AQ62" i="8"/>
  <c r="AP62" i="8"/>
  <c r="BE61" i="8"/>
  <c r="AV61" i="8"/>
  <c r="AU61" i="8"/>
  <c r="AT61" i="8"/>
  <c r="AS61" i="8"/>
  <c r="AR61" i="8"/>
  <c r="AQ61" i="8"/>
  <c r="AP61" i="8"/>
  <c r="BE60" i="8"/>
  <c r="AV60" i="8"/>
  <c r="AU60" i="8"/>
  <c r="AT60" i="8"/>
  <c r="AS60" i="8"/>
  <c r="AR60" i="8"/>
  <c r="AQ60" i="8"/>
  <c r="AP60" i="8"/>
  <c r="BE59" i="8"/>
  <c r="AV59" i="8"/>
  <c r="AU59" i="8"/>
  <c r="AT59" i="8"/>
  <c r="AS59" i="8"/>
  <c r="AR59" i="8"/>
  <c r="AQ59" i="8"/>
  <c r="AP59" i="8"/>
  <c r="BE58" i="8"/>
  <c r="AV58" i="8"/>
  <c r="AU58" i="8"/>
  <c r="AT58" i="8"/>
  <c r="AS58" i="8"/>
  <c r="AR58" i="8"/>
  <c r="AQ58" i="8"/>
  <c r="AP58" i="8"/>
  <c r="BE57" i="8"/>
  <c r="AV57" i="8"/>
  <c r="AU57" i="8"/>
  <c r="AT57" i="8"/>
  <c r="AS57" i="8"/>
  <c r="AR57" i="8"/>
  <c r="AQ57" i="8"/>
  <c r="AP57" i="8"/>
  <c r="BE56" i="8"/>
  <c r="AV56" i="8"/>
  <c r="AU56" i="8"/>
  <c r="AT56" i="8"/>
  <c r="AS56" i="8"/>
  <c r="AR56" i="8"/>
  <c r="AQ56" i="8"/>
  <c r="AP56" i="8"/>
  <c r="BE55" i="8"/>
  <c r="AV55" i="8"/>
  <c r="AU55" i="8"/>
  <c r="AT55" i="8"/>
  <c r="AS55" i="8"/>
  <c r="AR55" i="8"/>
  <c r="AQ55" i="8"/>
  <c r="AP55" i="8"/>
  <c r="BE54" i="8"/>
  <c r="AV54" i="8"/>
  <c r="AU54" i="8"/>
  <c r="AT54" i="8"/>
  <c r="AS54" i="8"/>
  <c r="AR54" i="8"/>
  <c r="AQ54" i="8"/>
  <c r="AP54" i="8"/>
  <c r="BE53" i="8"/>
  <c r="AV53" i="8"/>
  <c r="AU53" i="8"/>
  <c r="AT53" i="8"/>
  <c r="AS53" i="8"/>
  <c r="AR53" i="8"/>
  <c r="AQ53" i="8"/>
  <c r="AP53" i="8"/>
  <c r="BE52" i="8"/>
  <c r="AV52" i="8"/>
  <c r="AU52" i="8"/>
  <c r="AT52" i="8"/>
  <c r="AS52" i="8"/>
  <c r="AR52" i="8"/>
  <c r="AQ52" i="8"/>
  <c r="AP52" i="8"/>
  <c r="BE51" i="8"/>
  <c r="AV51" i="8"/>
  <c r="AU51" i="8"/>
  <c r="AT51" i="8"/>
  <c r="AS51" i="8"/>
  <c r="AR51" i="8"/>
  <c r="AQ51" i="8"/>
  <c r="AP51" i="8"/>
  <c r="BE50" i="8"/>
  <c r="AV50" i="8"/>
  <c r="AU50" i="8"/>
  <c r="AT50" i="8"/>
  <c r="AS50" i="8"/>
  <c r="AR50" i="8"/>
  <c r="AQ50" i="8"/>
  <c r="AP50" i="8"/>
  <c r="BE49" i="8"/>
  <c r="AV49" i="8"/>
  <c r="AU49" i="8"/>
  <c r="AT49" i="8"/>
  <c r="AS49" i="8"/>
  <c r="AR49" i="8"/>
  <c r="AQ49" i="8"/>
  <c r="AP49" i="8"/>
  <c r="BE48" i="8"/>
  <c r="AV48" i="8"/>
  <c r="AU48" i="8"/>
  <c r="AT48" i="8"/>
  <c r="AS48" i="8"/>
  <c r="AR48" i="8"/>
  <c r="AQ48" i="8"/>
  <c r="AP48" i="8"/>
  <c r="BE47" i="8"/>
  <c r="AV47" i="8"/>
  <c r="AU47" i="8"/>
  <c r="AT47" i="8"/>
  <c r="AS47" i="8"/>
  <c r="AR47" i="8"/>
  <c r="AQ47" i="8"/>
  <c r="AP47" i="8"/>
  <c r="BE46" i="8"/>
  <c r="AV46" i="8"/>
  <c r="AU46" i="8"/>
  <c r="AT46" i="8"/>
  <c r="AS46" i="8"/>
  <c r="AR46" i="8"/>
  <c r="AQ46" i="8"/>
  <c r="AP46" i="8"/>
  <c r="BE45" i="8"/>
  <c r="AV45" i="8"/>
  <c r="AU45" i="8"/>
  <c r="AT45" i="8"/>
  <c r="AS45" i="8"/>
  <c r="AR45" i="8"/>
  <c r="AQ45" i="8"/>
  <c r="AP45" i="8"/>
  <c r="BE44" i="8"/>
  <c r="AV44" i="8"/>
  <c r="AU44" i="8"/>
  <c r="AT44" i="8"/>
  <c r="AS44" i="8"/>
  <c r="AR44" i="8"/>
  <c r="AQ44" i="8"/>
  <c r="AP44" i="8"/>
  <c r="BE43" i="8"/>
  <c r="AV43" i="8"/>
  <c r="AU43" i="8"/>
  <c r="AT43" i="8"/>
  <c r="AS43" i="8"/>
  <c r="AR43" i="8"/>
  <c r="AQ43" i="8"/>
  <c r="AP43" i="8"/>
  <c r="BE42" i="8"/>
  <c r="AV42" i="8"/>
  <c r="AU42" i="8"/>
  <c r="AT42" i="8"/>
  <c r="AS42" i="8"/>
  <c r="AR42" i="8"/>
  <c r="AQ42" i="8"/>
  <c r="AP42" i="8"/>
  <c r="BE41" i="8"/>
  <c r="AV41" i="8"/>
  <c r="AU41" i="8"/>
  <c r="AT41" i="8"/>
  <c r="AS41" i="8"/>
  <c r="AR41" i="8"/>
  <c r="AQ41" i="8"/>
  <c r="AP41" i="8"/>
  <c r="AV40" i="8"/>
  <c r="AU40" i="8"/>
  <c r="AT40" i="8"/>
  <c r="AS40" i="8"/>
  <c r="AR40" i="8"/>
  <c r="AQ40" i="8"/>
  <c r="AP40" i="8"/>
  <c r="AV39" i="8"/>
  <c r="AU39" i="8"/>
  <c r="AT39" i="8"/>
  <c r="AS39" i="8"/>
  <c r="AR39" i="8"/>
  <c r="AQ39" i="8"/>
  <c r="AP39" i="8"/>
  <c r="AV38" i="8"/>
  <c r="AU38" i="8"/>
  <c r="AT38" i="8"/>
  <c r="AS38" i="8"/>
  <c r="AR38" i="8"/>
  <c r="AQ38" i="8"/>
  <c r="AP38" i="8"/>
  <c r="AV37" i="8"/>
  <c r="AU37" i="8"/>
  <c r="AT37" i="8"/>
  <c r="AS37" i="8"/>
  <c r="AR37" i="8"/>
  <c r="AQ37" i="8"/>
  <c r="AP37" i="8"/>
  <c r="AV36" i="8"/>
  <c r="AU36" i="8"/>
  <c r="AT36" i="8"/>
  <c r="AS36" i="8"/>
  <c r="AR36" i="8"/>
  <c r="AQ36" i="8"/>
  <c r="AP36" i="8"/>
  <c r="AV35" i="8"/>
  <c r="AU35" i="8"/>
  <c r="AT35" i="8"/>
  <c r="AS35" i="8"/>
  <c r="AR35" i="8"/>
  <c r="AQ35" i="8"/>
  <c r="AP35" i="8"/>
  <c r="AV34" i="8"/>
  <c r="AU34" i="8"/>
  <c r="AT34" i="8"/>
  <c r="AS34" i="8"/>
  <c r="AR34" i="8"/>
  <c r="AQ34" i="8"/>
  <c r="AP34" i="8"/>
  <c r="AV33" i="8"/>
  <c r="AU33" i="8"/>
  <c r="AT33" i="8"/>
  <c r="AS33" i="8"/>
  <c r="AR33" i="8"/>
  <c r="AQ33" i="8"/>
  <c r="AP33" i="8"/>
  <c r="AV32" i="8"/>
  <c r="AU32" i="8"/>
  <c r="AT32" i="8"/>
  <c r="AS32" i="8"/>
  <c r="AR32" i="8"/>
  <c r="AQ32" i="8"/>
  <c r="AP32" i="8"/>
  <c r="AV31" i="8"/>
  <c r="AU31" i="8"/>
  <c r="AT31" i="8"/>
  <c r="AS31" i="8"/>
  <c r="AR31" i="8"/>
  <c r="AQ31" i="8"/>
  <c r="AP31" i="8"/>
  <c r="AV30" i="8"/>
  <c r="AU30" i="8"/>
  <c r="AT30" i="8"/>
  <c r="AS30" i="8"/>
  <c r="AR30" i="8"/>
  <c r="AQ30" i="8"/>
  <c r="AP30" i="8"/>
  <c r="AV29" i="8"/>
  <c r="AU29" i="8"/>
  <c r="AT29" i="8"/>
  <c r="AS29" i="8"/>
  <c r="AR29" i="8"/>
  <c r="AQ29" i="8"/>
  <c r="AP29" i="8"/>
  <c r="AV28" i="8"/>
  <c r="AU28" i="8"/>
  <c r="AT28" i="8"/>
  <c r="AS28" i="8"/>
  <c r="AR28" i="8"/>
  <c r="AQ28" i="8"/>
  <c r="AP28" i="8"/>
  <c r="AV27" i="8"/>
  <c r="AU27" i="8"/>
  <c r="AT27" i="8"/>
  <c r="AS27" i="8"/>
  <c r="AR27" i="8"/>
  <c r="AQ27" i="8"/>
  <c r="AP27" i="8"/>
  <c r="AV26" i="8"/>
  <c r="AU26" i="8"/>
  <c r="AT26" i="8"/>
  <c r="AS26" i="8"/>
  <c r="AR26" i="8"/>
  <c r="AQ26" i="8"/>
  <c r="AP26" i="8"/>
  <c r="AV25" i="8"/>
  <c r="AU25" i="8"/>
  <c r="AT25" i="8"/>
  <c r="AS25" i="8"/>
  <c r="AR25" i="8"/>
  <c r="AQ25" i="8"/>
  <c r="AP25" i="8"/>
  <c r="AV24" i="8"/>
  <c r="AU24" i="8"/>
  <c r="AT24" i="8"/>
  <c r="AS24" i="8"/>
  <c r="AR24" i="8"/>
  <c r="AQ24" i="8"/>
  <c r="AP24" i="8"/>
  <c r="AV23" i="8"/>
  <c r="AU23" i="8"/>
  <c r="AT23" i="8"/>
  <c r="AS23" i="8"/>
  <c r="AR23" i="8"/>
  <c r="AQ23" i="8"/>
  <c r="AP23" i="8"/>
  <c r="AV22" i="8"/>
  <c r="AU22" i="8"/>
  <c r="AT22" i="8"/>
  <c r="AS22" i="8"/>
  <c r="AR22" i="8"/>
  <c r="AQ22" i="8"/>
  <c r="AP22" i="8"/>
  <c r="AV21" i="8"/>
  <c r="AU21" i="8"/>
  <c r="AT21" i="8"/>
  <c r="AS21" i="8"/>
  <c r="AR21" i="8"/>
  <c r="AQ21" i="8"/>
  <c r="AP21" i="8"/>
  <c r="AV20" i="8"/>
  <c r="AU20" i="8"/>
  <c r="AT20" i="8"/>
  <c r="AS20" i="8"/>
  <c r="AR20" i="8"/>
  <c r="AQ20" i="8"/>
  <c r="AP20" i="8"/>
  <c r="AV19" i="8"/>
  <c r="AU19" i="8"/>
  <c r="AT19" i="8"/>
  <c r="AS19" i="8"/>
  <c r="AR19" i="8"/>
  <c r="AQ19" i="8"/>
  <c r="AP19" i="8"/>
  <c r="AV18" i="8"/>
  <c r="AU18" i="8"/>
  <c r="AT18" i="8"/>
  <c r="AS18" i="8"/>
  <c r="AR18" i="8"/>
  <c r="AQ18" i="8"/>
  <c r="AP18" i="8"/>
  <c r="AV17" i="8"/>
  <c r="AU17" i="8"/>
  <c r="AT17" i="8"/>
  <c r="AS17" i="8"/>
  <c r="AR17" i="8"/>
  <c r="AQ17" i="8"/>
  <c r="AP17" i="8"/>
  <c r="AV16" i="8"/>
  <c r="AU16" i="8"/>
  <c r="AT16" i="8"/>
  <c r="AS16" i="8"/>
  <c r="AR16" i="8"/>
  <c r="AQ16" i="8"/>
  <c r="AP16" i="8"/>
  <c r="AV15" i="8"/>
  <c r="AU15" i="8"/>
  <c r="AT15" i="8"/>
  <c r="AS15" i="8"/>
  <c r="AR15" i="8"/>
  <c r="AQ15" i="8"/>
  <c r="AP15" i="8"/>
  <c r="AV14" i="8"/>
  <c r="AU14" i="8"/>
  <c r="AT14" i="8"/>
  <c r="AS14" i="8"/>
  <c r="AR14" i="8"/>
  <c r="AQ14" i="8"/>
  <c r="AP14" i="8"/>
  <c r="AV13" i="8"/>
  <c r="AU13" i="8"/>
  <c r="AT13" i="8"/>
  <c r="AS13" i="8"/>
  <c r="AR13" i="8"/>
  <c r="AQ13" i="8"/>
  <c r="AP13" i="8"/>
  <c r="AV12" i="8"/>
  <c r="AU12" i="8"/>
  <c r="AT12" i="8"/>
  <c r="AS12" i="8"/>
  <c r="AR12" i="8"/>
  <c r="AQ12" i="8"/>
  <c r="AP12" i="8"/>
  <c r="AV11" i="8"/>
  <c r="AU11" i="8"/>
  <c r="AT11" i="8"/>
  <c r="AS11" i="8"/>
  <c r="AR11" i="8"/>
  <c r="AQ11" i="8"/>
  <c r="AP11" i="8"/>
  <c r="AV10" i="8"/>
  <c r="AU10" i="8"/>
  <c r="AT10" i="8"/>
  <c r="AS10" i="8"/>
  <c r="AR10" i="8"/>
  <c r="AQ10" i="8"/>
  <c r="AP10" i="8"/>
  <c r="AV9" i="8"/>
  <c r="AU9" i="8"/>
  <c r="AT9" i="8"/>
  <c r="AS9" i="8"/>
  <c r="AR9" i="8"/>
  <c r="AQ9" i="8"/>
  <c r="AP9" i="8"/>
  <c r="AV8" i="8"/>
  <c r="AU8" i="8"/>
  <c r="AT8" i="8"/>
  <c r="AS8" i="8"/>
  <c r="AR8" i="8"/>
  <c r="AQ8" i="8"/>
  <c r="AP8" i="8"/>
  <c r="AV7" i="8"/>
  <c r="AU7" i="8"/>
  <c r="AT7" i="8"/>
  <c r="AS7" i="8"/>
  <c r="AR7" i="8"/>
  <c r="AQ7" i="8"/>
  <c r="AP7" i="8"/>
  <c r="AV6" i="8"/>
  <c r="AU6" i="8"/>
  <c r="AT6" i="8"/>
  <c r="AS6" i="8"/>
  <c r="AR6" i="8"/>
  <c r="AQ6" i="8"/>
  <c r="AP6" i="8"/>
  <c r="AV5" i="8"/>
  <c r="AU5" i="8"/>
  <c r="AT5" i="8"/>
  <c r="AS5" i="8"/>
  <c r="AR5" i="8"/>
  <c r="AQ5" i="8"/>
  <c r="AP5" i="8"/>
  <c r="AV112" i="6"/>
  <c r="AU112" i="6"/>
  <c r="AT112" i="6"/>
  <c r="AS112" i="6"/>
  <c r="AR112" i="6"/>
  <c r="AQ112" i="6"/>
  <c r="AP112" i="6"/>
  <c r="AV111" i="6"/>
  <c r="AU111" i="6"/>
  <c r="AT111" i="6"/>
  <c r="AS111" i="6"/>
  <c r="AR111" i="6"/>
  <c r="AQ111" i="6"/>
  <c r="AP111" i="6"/>
  <c r="AV110" i="6"/>
  <c r="AU110" i="6"/>
  <c r="AT110" i="6"/>
  <c r="AS110" i="6"/>
  <c r="AR110" i="6"/>
  <c r="AQ110" i="6"/>
  <c r="AP110" i="6"/>
  <c r="AV109" i="6"/>
  <c r="AU109" i="6"/>
  <c r="AT109" i="6"/>
  <c r="AS109" i="6"/>
  <c r="AR109" i="6"/>
  <c r="AQ109" i="6"/>
  <c r="AP109" i="6"/>
  <c r="AV108" i="6"/>
  <c r="AU108" i="6"/>
  <c r="AT108" i="6"/>
  <c r="AS108" i="6"/>
  <c r="AR108" i="6"/>
  <c r="AQ108" i="6"/>
  <c r="AP108" i="6"/>
  <c r="AV107" i="6"/>
  <c r="AU107" i="6"/>
  <c r="AT107" i="6"/>
  <c r="AS107" i="6"/>
  <c r="AR107" i="6"/>
  <c r="AQ107" i="6"/>
  <c r="AP107" i="6"/>
  <c r="AV106" i="6"/>
  <c r="AU106" i="6"/>
  <c r="AT106" i="6"/>
  <c r="AS106" i="6"/>
  <c r="AR106" i="6"/>
  <c r="AQ106" i="6"/>
  <c r="AP106" i="6"/>
  <c r="AV105" i="6"/>
  <c r="AU105" i="6"/>
  <c r="AT105" i="6"/>
  <c r="AS105" i="6"/>
  <c r="AR105" i="6"/>
  <c r="AQ105" i="6"/>
  <c r="AP105" i="6"/>
  <c r="AV104" i="6"/>
  <c r="AU104" i="6"/>
  <c r="AT104" i="6"/>
  <c r="AS104" i="6"/>
  <c r="AR104" i="6"/>
  <c r="AQ104" i="6"/>
  <c r="AP104" i="6"/>
  <c r="AV103" i="6"/>
  <c r="AU103" i="6"/>
  <c r="AT103" i="6"/>
  <c r="AS103" i="6"/>
  <c r="AR103" i="6"/>
  <c r="AQ103" i="6"/>
  <c r="AP103" i="6"/>
  <c r="AV102" i="6"/>
  <c r="AU102" i="6"/>
  <c r="AT102" i="6"/>
  <c r="AS102" i="6"/>
  <c r="AR102" i="6"/>
  <c r="AQ102" i="6"/>
  <c r="AP102" i="6"/>
  <c r="AV101" i="6"/>
  <c r="AU101" i="6"/>
  <c r="AT101" i="6"/>
  <c r="AS101" i="6"/>
  <c r="AR101" i="6"/>
  <c r="AQ101" i="6"/>
  <c r="AP101" i="6"/>
  <c r="AV100" i="6"/>
  <c r="AU100" i="6"/>
  <c r="AT100" i="6"/>
  <c r="AS100" i="6"/>
  <c r="AR100" i="6"/>
  <c r="AQ100" i="6"/>
  <c r="AP100" i="6"/>
  <c r="AV99" i="6"/>
  <c r="AU99" i="6"/>
  <c r="AT99" i="6"/>
  <c r="AS99" i="6"/>
  <c r="AR99" i="6"/>
  <c r="AQ99" i="6"/>
  <c r="AP99" i="6"/>
  <c r="AV98" i="6"/>
  <c r="AU98" i="6"/>
  <c r="AT98" i="6"/>
  <c r="AS98" i="6"/>
  <c r="AR98" i="6"/>
  <c r="AQ98" i="6"/>
  <c r="AP98" i="6"/>
  <c r="AV97" i="6"/>
  <c r="AU97" i="6"/>
  <c r="AT97" i="6"/>
  <c r="AS97" i="6"/>
  <c r="AR97" i="6"/>
  <c r="AQ97" i="6"/>
  <c r="AP97" i="6"/>
  <c r="AV96" i="6"/>
  <c r="AU96" i="6"/>
  <c r="AT96" i="6"/>
  <c r="AS96" i="6"/>
  <c r="AR96" i="6"/>
  <c r="AQ96" i="6"/>
  <c r="AP96" i="6"/>
  <c r="AV95" i="6"/>
  <c r="AU95" i="6"/>
  <c r="AT95" i="6"/>
  <c r="AS95" i="6"/>
  <c r="AR95" i="6"/>
  <c r="AQ95" i="6"/>
  <c r="AP95" i="6"/>
  <c r="AV94" i="6"/>
  <c r="AU94" i="6"/>
  <c r="AT94" i="6"/>
  <c r="AS94" i="6"/>
  <c r="AR94" i="6"/>
  <c r="AQ94" i="6"/>
  <c r="AP94" i="6"/>
  <c r="AV93" i="6"/>
  <c r="AU93" i="6"/>
  <c r="AT93" i="6"/>
  <c r="AS93" i="6"/>
  <c r="AR93" i="6"/>
  <c r="AQ93" i="6"/>
  <c r="AP93" i="6"/>
  <c r="AV92" i="6"/>
  <c r="AU92" i="6"/>
  <c r="AT92" i="6"/>
  <c r="AS92" i="6"/>
  <c r="AR92" i="6"/>
  <c r="AQ92" i="6"/>
  <c r="AP92" i="6"/>
  <c r="AV91" i="6"/>
  <c r="AU91" i="6"/>
  <c r="AT91" i="6"/>
  <c r="AS91" i="6"/>
  <c r="AR91" i="6"/>
  <c r="AQ91" i="6"/>
  <c r="AP91" i="6"/>
  <c r="AV90" i="6"/>
  <c r="AU90" i="6"/>
  <c r="AT90" i="6"/>
  <c r="AS90" i="6"/>
  <c r="AR90" i="6"/>
  <c r="AQ90" i="6"/>
  <c r="AP90" i="6"/>
  <c r="AV89" i="6"/>
  <c r="AU89" i="6"/>
  <c r="AT89" i="6"/>
  <c r="AS89" i="6"/>
  <c r="AR89" i="6"/>
  <c r="AQ89" i="6"/>
  <c r="AP89" i="6"/>
  <c r="AV88" i="6"/>
  <c r="AU88" i="6"/>
  <c r="AT88" i="6"/>
  <c r="AS88" i="6"/>
  <c r="AR88" i="6"/>
  <c r="AQ88" i="6"/>
  <c r="AP88" i="6"/>
  <c r="AV87" i="6"/>
  <c r="AU87" i="6"/>
  <c r="AT87" i="6"/>
  <c r="AS87" i="6"/>
  <c r="AR87" i="6"/>
  <c r="AQ87" i="6"/>
  <c r="AP87" i="6"/>
  <c r="AV86" i="6"/>
  <c r="AU86" i="6"/>
  <c r="AT86" i="6"/>
  <c r="AS86" i="6"/>
  <c r="AR86" i="6"/>
  <c r="AQ86" i="6"/>
  <c r="AP86" i="6"/>
  <c r="AV85" i="6"/>
  <c r="AU85" i="6"/>
  <c r="AT85" i="6"/>
  <c r="AS85" i="6"/>
  <c r="AR85" i="6"/>
  <c r="AQ85" i="6"/>
  <c r="AP85" i="6"/>
  <c r="AV84" i="6"/>
  <c r="AU84" i="6"/>
  <c r="AT84" i="6"/>
  <c r="AS84" i="6"/>
  <c r="AR84" i="6"/>
  <c r="AQ84" i="6"/>
  <c r="AP84" i="6"/>
  <c r="AV83" i="6"/>
  <c r="AU83" i="6"/>
  <c r="AT83" i="6"/>
  <c r="AS83" i="6"/>
  <c r="AR83" i="6"/>
  <c r="AQ83" i="6"/>
  <c r="AP83" i="6"/>
  <c r="AV82" i="6"/>
  <c r="AU82" i="6"/>
  <c r="AT82" i="6"/>
  <c r="AS82" i="6"/>
  <c r="AR82" i="6"/>
  <c r="AQ82" i="6"/>
  <c r="AP82" i="6"/>
  <c r="AV81" i="6"/>
  <c r="AU81" i="6"/>
  <c r="AT81" i="6"/>
  <c r="AS81" i="6"/>
  <c r="AR81" i="6"/>
  <c r="AQ81" i="6"/>
  <c r="AP81" i="6"/>
  <c r="AV80" i="6"/>
  <c r="AU80" i="6"/>
  <c r="AT80" i="6"/>
  <c r="AS80" i="6"/>
  <c r="AR80" i="6"/>
  <c r="AQ80" i="6"/>
  <c r="AP80" i="6"/>
  <c r="AV79" i="6"/>
  <c r="AU79" i="6"/>
  <c r="AT79" i="6"/>
  <c r="AS79" i="6"/>
  <c r="AR79" i="6"/>
  <c r="AQ79" i="6"/>
  <c r="AP79" i="6"/>
  <c r="AV78" i="6"/>
  <c r="AU78" i="6"/>
  <c r="AT78" i="6"/>
  <c r="AS78" i="6"/>
  <c r="AR78" i="6"/>
  <c r="AQ78" i="6"/>
  <c r="AP78" i="6"/>
  <c r="AV77" i="6"/>
  <c r="AU77" i="6"/>
  <c r="AT77" i="6"/>
  <c r="AS77" i="6"/>
  <c r="AR77" i="6"/>
  <c r="AQ77" i="6"/>
  <c r="AP77" i="6"/>
  <c r="AV76" i="6"/>
  <c r="AU76" i="6"/>
  <c r="AT76" i="6"/>
  <c r="AS76" i="6"/>
  <c r="AR76" i="6"/>
  <c r="AQ76" i="6"/>
  <c r="AP76" i="6"/>
  <c r="AV75" i="6"/>
  <c r="AU75" i="6"/>
  <c r="AT75" i="6"/>
  <c r="AS75" i="6"/>
  <c r="AR75" i="6"/>
  <c r="AQ75" i="6"/>
  <c r="AP75" i="6"/>
  <c r="AV74" i="6"/>
  <c r="AU74" i="6"/>
  <c r="AT74" i="6"/>
  <c r="AS74" i="6"/>
  <c r="AR74" i="6"/>
  <c r="AQ74" i="6"/>
  <c r="AP74" i="6"/>
  <c r="AV73" i="6"/>
  <c r="AU73" i="6"/>
  <c r="AT73" i="6"/>
  <c r="AS73" i="6"/>
  <c r="AR73" i="6"/>
  <c r="AQ73" i="6"/>
  <c r="AP73" i="6"/>
  <c r="AV72" i="6"/>
  <c r="AU72" i="6"/>
  <c r="AT72" i="6"/>
  <c r="AS72" i="6"/>
  <c r="AR72" i="6"/>
  <c r="AQ72" i="6"/>
  <c r="AP72" i="6"/>
  <c r="AV71" i="6"/>
  <c r="AU71" i="6"/>
  <c r="AT71" i="6"/>
  <c r="AS71" i="6"/>
  <c r="AR71" i="6"/>
  <c r="AQ71" i="6"/>
  <c r="AP71" i="6"/>
  <c r="AV70" i="6"/>
  <c r="AU70" i="6"/>
  <c r="AT70" i="6"/>
  <c r="AS70" i="6"/>
  <c r="AR70" i="6"/>
  <c r="AQ70" i="6"/>
  <c r="AP70" i="6"/>
  <c r="AV69" i="6"/>
  <c r="AU69" i="6"/>
  <c r="AT69" i="6"/>
  <c r="AS69" i="6"/>
  <c r="AR69" i="6"/>
  <c r="AQ69" i="6"/>
  <c r="AP69" i="6"/>
  <c r="AV68" i="6"/>
  <c r="AU68" i="6"/>
  <c r="AT68" i="6"/>
  <c r="AS68" i="6"/>
  <c r="AR68" i="6"/>
  <c r="AQ68" i="6"/>
  <c r="AP68" i="6"/>
  <c r="AV67" i="6"/>
  <c r="AU67" i="6"/>
  <c r="AT67" i="6"/>
  <c r="AS67" i="6"/>
  <c r="AR67" i="6"/>
  <c r="AQ67" i="6"/>
  <c r="AP67" i="6"/>
  <c r="AV66" i="6"/>
  <c r="AU66" i="6"/>
  <c r="AT66" i="6"/>
  <c r="AS66" i="6"/>
  <c r="AR66" i="6"/>
  <c r="AQ66" i="6"/>
  <c r="AP66" i="6"/>
  <c r="AV65" i="6"/>
  <c r="AU65" i="6"/>
  <c r="AT65" i="6"/>
  <c r="AS65" i="6"/>
  <c r="AR65" i="6"/>
  <c r="AQ65" i="6"/>
  <c r="AP65" i="6"/>
  <c r="AV64" i="6"/>
  <c r="AU64" i="6"/>
  <c r="AT64" i="6"/>
  <c r="AS64" i="6"/>
  <c r="AR64" i="6"/>
  <c r="AQ64" i="6"/>
  <c r="AP64" i="6"/>
  <c r="AV63" i="6"/>
  <c r="AU63" i="6"/>
  <c r="AT63" i="6"/>
  <c r="AS63" i="6"/>
  <c r="AR63" i="6"/>
  <c r="AQ63" i="6"/>
  <c r="AP63" i="6"/>
  <c r="AV62" i="6"/>
  <c r="AU62" i="6"/>
  <c r="AT62" i="6"/>
  <c r="AS62" i="6"/>
  <c r="AR62" i="6"/>
  <c r="AQ62" i="6"/>
  <c r="AP62" i="6"/>
  <c r="AV61" i="6"/>
  <c r="AU61" i="6"/>
  <c r="AT61" i="6"/>
  <c r="AS61" i="6"/>
  <c r="AR61" i="6"/>
  <c r="AQ61" i="6"/>
  <c r="AP61" i="6"/>
  <c r="AV60" i="6"/>
  <c r="AU60" i="6"/>
  <c r="AT60" i="6"/>
  <c r="AS60" i="6"/>
  <c r="AR60" i="6"/>
  <c r="AQ60" i="6"/>
  <c r="AP60" i="6"/>
  <c r="AV59" i="6"/>
  <c r="AU59" i="6"/>
  <c r="AT59" i="6"/>
  <c r="AS59" i="6"/>
  <c r="AR59" i="6"/>
  <c r="AQ59" i="6"/>
  <c r="AP59" i="6"/>
  <c r="AV58" i="6"/>
  <c r="AU58" i="6"/>
  <c r="AT58" i="6"/>
  <c r="AS58" i="6"/>
  <c r="AR58" i="6"/>
  <c r="AQ58" i="6"/>
  <c r="AP58" i="6"/>
  <c r="AV57" i="6"/>
  <c r="AU57" i="6"/>
  <c r="AT57" i="6"/>
  <c r="AS57" i="6"/>
  <c r="AR57" i="6"/>
  <c r="AQ57" i="6"/>
  <c r="AP57" i="6"/>
  <c r="AV56" i="6"/>
  <c r="AU56" i="6"/>
  <c r="AT56" i="6"/>
  <c r="AS56" i="6"/>
  <c r="AR56" i="6"/>
  <c r="AQ56" i="6"/>
  <c r="AP56" i="6"/>
  <c r="AV55" i="6"/>
  <c r="AU55" i="6"/>
  <c r="AT55" i="6"/>
  <c r="AS55" i="6"/>
  <c r="AR55" i="6"/>
  <c r="AQ55" i="6"/>
  <c r="AP55" i="6"/>
  <c r="AV54" i="6"/>
  <c r="AU54" i="6"/>
  <c r="AT54" i="6"/>
  <c r="AS54" i="6"/>
  <c r="AR54" i="6"/>
  <c r="AQ54" i="6"/>
  <c r="AP54" i="6"/>
  <c r="AV53" i="6"/>
  <c r="AU53" i="6"/>
  <c r="AT53" i="6"/>
  <c r="AS53" i="6"/>
  <c r="AR53" i="6"/>
  <c r="AQ53" i="6"/>
  <c r="AP53" i="6"/>
  <c r="AV52" i="6"/>
  <c r="AU52" i="6"/>
  <c r="AT52" i="6"/>
  <c r="AS52" i="6"/>
  <c r="AR52" i="6"/>
  <c r="AQ52" i="6"/>
  <c r="AP52" i="6"/>
  <c r="AV51" i="6"/>
  <c r="AU51" i="6"/>
  <c r="AT51" i="6"/>
  <c r="AS51" i="6"/>
  <c r="AR51" i="6"/>
  <c r="AQ51" i="6"/>
  <c r="AP51" i="6"/>
  <c r="AV50" i="6"/>
  <c r="AU50" i="6"/>
  <c r="AT50" i="6"/>
  <c r="AS50" i="6"/>
  <c r="AR50" i="6"/>
  <c r="AQ50" i="6"/>
  <c r="AP50" i="6"/>
  <c r="AV49" i="6"/>
  <c r="AU49" i="6"/>
  <c r="AT49" i="6"/>
  <c r="AS49" i="6"/>
  <c r="AR49" i="6"/>
  <c r="AQ49" i="6"/>
  <c r="AP49" i="6"/>
  <c r="AV48" i="6"/>
  <c r="AU48" i="6"/>
  <c r="AT48" i="6"/>
  <c r="AS48" i="6"/>
  <c r="AR48" i="6"/>
  <c r="AQ48" i="6"/>
  <c r="AP48" i="6"/>
  <c r="AV47" i="6"/>
  <c r="AU47" i="6"/>
  <c r="AT47" i="6"/>
  <c r="AS47" i="6"/>
  <c r="AR47" i="6"/>
  <c r="AQ47" i="6"/>
  <c r="AP47" i="6"/>
  <c r="AV46" i="6"/>
  <c r="AU46" i="6"/>
  <c r="AT46" i="6"/>
  <c r="AS46" i="6"/>
  <c r="AR46" i="6"/>
  <c r="AQ46" i="6"/>
  <c r="AP46" i="6"/>
  <c r="AV45" i="6"/>
  <c r="AU45" i="6"/>
  <c r="AT45" i="6"/>
  <c r="AS45" i="6"/>
  <c r="AR45" i="6"/>
  <c r="AQ45" i="6"/>
  <c r="AP45" i="6"/>
  <c r="AV44" i="6"/>
  <c r="AU44" i="6"/>
  <c r="AT44" i="6"/>
  <c r="AS44" i="6"/>
  <c r="AR44" i="6"/>
  <c r="AQ44" i="6"/>
  <c r="AP44" i="6"/>
  <c r="AV43" i="6"/>
  <c r="AU43" i="6"/>
  <c r="AT43" i="6"/>
  <c r="AS43" i="6"/>
  <c r="AR43" i="6"/>
  <c r="AQ43" i="6"/>
  <c r="AP43" i="6"/>
  <c r="AV42" i="6"/>
  <c r="AU42" i="6"/>
  <c r="AT42" i="6"/>
  <c r="AS42" i="6"/>
  <c r="AR42" i="6"/>
  <c r="AQ42" i="6"/>
  <c r="AP42" i="6"/>
  <c r="AV41" i="6"/>
  <c r="AU41" i="6"/>
  <c r="AT41" i="6"/>
  <c r="AS41" i="6"/>
  <c r="AR41" i="6"/>
  <c r="AQ41" i="6"/>
  <c r="AP41" i="6"/>
  <c r="AV40" i="6"/>
  <c r="AU40" i="6"/>
  <c r="AT40" i="6"/>
  <c r="AS40" i="6"/>
  <c r="AR40" i="6"/>
  <c r="AQ40" i="6"/>
  <c r="AP40" i="6"/>
  <c r="AV39" i="6"/>
  <c r="AU39" i="6"/>
  <c r="AT39" i="6"/>
  <c r="AS39" i="6"/>
  <c r="AR39" i="6"/>
  <c r="AQ39" i="6"/>
  <c r="AP39" i="6"/>
  <c r="AV38" i="6"/>
  <c r="AU38" i="6"/>
  <c r="AT38" i="6"/>
  <c r="AS38" i="6"/>
  <c r="AR38" i="6"/>
  <c r="AQ38" i="6"/>
  <c r="AP38" i="6"/>
  <c r="AV37" i="6"/>
  <c r="AU37" i="6"/>
  <c r="AT37" i="6"/>
  <c r="AS37" i="6"/>
  <c r="AR37" i="6"/>
  <c r="AQ37" i="6"/>
  <c r="AP37" i="6"/>
  <c r="AV36" i="6"/>
  <c r="AU36" i="6"/>
  <c r="AT36" i="6"/>
  <c r="AS36" i="6"/>
  <c r="AR36" i="6"/>
  <c r="AQ36" i="6"/>
  <c r="AP36" i="6"/>
  <c r="AV35" i="6"/>
  <c r="AU35" i="6"/>
  <c r="AT35" i="6"/>
  <c r="AS35" i="6"/>
  <c r="AR35" i="6"/>
  <c r="AQ35" i="6"/>
  <c r="AP35" i="6"/>
  <c r="AV34" i="6"/>
  <c r="AU34" i="6"/>
  <c r="AT34" i="6"/>
  <c r="AS34" i="6"/>
  <c r="AR34" i="6"/>
  <c r="AQ34" i="6"/>
  <c r="AP34" i="6"/>
  <c r="AV33" i="6"/>
  <c r="AU33" i="6"/>
  <c r="AT33" i="6"/>
  <c r="AS33" i="6"/>
  <c r="AR33" i="6"/>
  <c r="AQ33" i="6"/>
  <c r="AP33" i="6"/>
  <c r="AV32" i="6"/>
  <c r="AU32" i="6"/>
  <c r="AT32" i="6"/>
  <c r="AS32" i="6"/>
  <c r="AR32" i="6"/>
  <c r="AQ32" i="6"/>
  <c r="AP32" i="6"/>
  <c r="AV31" i="6"/>
  <c r="AU31" i="6"/>
  <c r="AT31" i="6"/>
  <c r="AS31" i="6"/>
  <c r="AR31" i="6"/>
  <c r="AQ31" i="6"/>
  <c r="AP31" i="6"/>
  <c r="AV30" i="6"/>
  <c r="AU30" i="6"/>
  <c r="AT30" i="6"/>
  <c r="AS30" i="6"/>
  <c r="AR30" i="6"/>
  <c r="AQ30" i="6"/>
  <c r="AP30" i="6"/>
  <c r="AV29" i="6"/>
  <c r="AU29" i="6"/>
  <c r="AT29" i="6"/>
  <c r="AS29" i="6"/>
  <c r="AR29" i="6"/>
  <c r="AQ29" i="6"/>
  <c r="AP29" i="6"/>
  <c r="AV28" i="6"/>
  <c r="AU28" i="6"/>
  <c r="AT28" i="6"/>
  <c r="AS28" i="6"/>
  <c r="AR28" i="6"/>
  <c r="AQ28" i="6"/>
  <c r="AP28" i="6"/>
  <c r="AV27" i="6"/>
  <c r="AU27" i="6"/>
  <c r="AT27" i="6"/>
  <c r="AS27" i="6"/>
  <c r="AR27" i="6"/>
  <c r="AQ27" i="6"/>
  <c r="AP27" i="6"/>
  <c r="AV26" i="6"/>
  <c r="AU26" i="6"/>
  <c r="AT26" i="6"/>
  <c r="AS26" i="6"/>
  <c r="AR26" i="6"/>
  <c r="AQ26" i="6"/>
  <c r="AP26" i="6"/>
  <c r="AV25" i="6"/>
  <c r="AU25" i="6"/>
  <c r="AT25" i="6"/>
  <c r="AS25" i="6"/>
  <c r="AR25" i="6"/>
  <c r="AQ25" i="6"/>
  <c r="AP25" i="6"/>
  <c r="AV24" i="6"/>
  <c r="AU24" i="6"/>
  <c r="AT24" i="6"/>
  <c r="AS24" i="6"/>
  <c r="AR24" i="6"/>
  <c r="AQ24" i="6"/>
  <c r="AP24" i="6"/>
  <c r="AV23" i="6"/>
  <c r="AU23" i="6"/>
  <c r="AT23" i="6"/>
  <c r="AS23" i="6"/>
  <c r="AR23" i="6"/>
  <c r="AQ23" i="6"/>
  <c r="AP23" i="6"/>
  <c r="AV22" i="6"/>
  <c r="AU22" i="6"/>
  <c r="AT22" i="6"/>
  <c r="AS22" i="6"/>
  <c r="AR22" i="6"/>
  <c r="AQ22" i="6"/>
  <c r="AP22" i="6"/>
  <c r="AV21" i="6"/>
  <c r="AU21" i="6"/>
  <c r="AT21" i="6"/>
  <c r="AS21" i="6"/>
  <c r="AR21" i="6"/>
  <c r="AQ21" i="6"/>
  <c r="AP21" i="6"/>
  <c r="AV20" i="6"/>
  <c r="AU20" i="6"/>
  <c r="AT20" i="6"/>
  <c r="AS20" i="6"/>
  <c r="AR20" i="6"/>
  <c r="AQ20" i="6"/>
  <c r="AP20" i="6"/>
  <c r="AV19" i="6"/>
  <c r="AU19" i="6"/>
  <c r="AT19" i="6"/>
  <c r="AS19" i="6"/>
  <c r="AR19" i="6"/>
  <c r="AQ19" i="6"/>
  <c r="AP19" i="6"/>
  <c r="AV18" i="6"/>
  <c r="AU18" i="6"/>
  <c r="AT18" i="6"/>
  <c r="AS18" i="6"/>
  <c r="AR18" i="6"/>
  <c r="AQ18" i="6"/>
  <c r="AP18" i="6"/>
  <c r="AV17" i="6"/>
  <c r="AU17" i="6"/>
  <c r="AT17" i="6"/>
  <c r="AS17" i="6"/>
  <c r="AR17" i="6"/>
  <c r="AQ17" i="6"/>
  <c r="AP17" i="6"/>
  <c r="AV16" i="6"/>
  <c r="AU16" i="6"/>
  <c r="AT16" i="6"/>
  <c r="AS16" i="6"/>
  <c r="AR16" i="6"/>
  <c r="AQ16" i="6"/>
  <c r="AP16" i="6"/>
  <c r="AV15" i="6"/>
  <c r="AU15" i="6"/>
  <c r="AT15" i="6"/>
  <c r="AS15" i="6"/>
  <c r="AR15" i="6"/>
  <c r="AQ15" i="6"/>
  <c r="AP15" i="6"/>
  <c r="AV14" i="6"/>
  <c r="AU14" i="6"/>
  <c r="AT14" i="6"/>
  <c r="AS14" i="6"/>
  <c r="AR14" i="6"/>
  <c r="AQ14" i="6"/>
  <c r="AP14" i="6"/>
  <c r="AV13" i="6"/>
  <c r="AU13" i="6"/>
  <c r="AT13" i="6"/>
  <c r="AS13" i="6"/>
  <c r="AR13" i="6"/>
  <c r="AQ13" i="6"/>
  <c r="AP13" i="6"/>
  <c r="AV12" i="6"/>
  <c r="AU12" i="6"/>
  <c r="AT12" i="6"/>
  <c r="AS12" i="6"/>
  <c r="AR12" i="6"/>
  <c r="AQ12" i="6"/>
  <c r="AP12" i="6"/>
  <c r="AV11" i="6"/>
  <c r="AU11" i="6"/>
  <c r="AT11" i="6"/>
  <c r="AS11" i="6"/>
  <c r="AR11" i="6"/>
  <c r="AQ11" i="6"/>
  <c r="AP11" i="6"/>
  <c r="AV10" i="6"/>
  <c r="AU10" i="6"/>
  <c r="AT10" i="6"/>
  <c r="AS10" i="6"/>
  <c r="AR10" i="6"/>
  <c r="AQ10" i="6"/>
  <c r="AP10" i="6"/>
  <c r="AV9" i="6"/>
  <c r="AU9" i="6"/>
  <c r="AT9" i="6"/>
  <c r="AS9" i="6"/>
  <c r="AR9" i="6"/>
  <c r="AQ9" i="6"/>
  <c r="AP9" i="6"/>
  <c r="AV8" i="6"/>
  <c r="AU8" i="6"/>
  <c r="AT8" i="6"/>
  <c r="AS8" i="6"/>
  <c r="AR8" i="6"/>
  <c r="AQ8" i="6"/>
  <c r="AP8" i="6"/>
  <c r="AV7" i="6"/>
  <c r="AU7" i="6"/>
  <c r="AT7" i="6"/>
  <c r="AS7" i="6"/>
  <c r="AR7" i="6"/>
  <c r="AQ7" i="6"/>
  <c r="AP7" i="6"/>
  <c r="AV6" i="6"/>
  <c r="AU6" i="6"/>
  <c r="AT6" i="6"/>
  <c r="AS6" i="6"/>
  <c r="AR6" i="6"/>
  <c r="AQ6" i="6"/>
  <c r="AP6" i="6"/>
  <c r="AV5" i="6"/>
  <c r="AU5" i="6"/>
  <c r="AT5" i="6"/>
  <c r="AS5" i="6"/>
  <c r="AR5" i="6"/>
  <c r="AQ5" i="6"/>
  <c r="AP5" i="6"/>
  <c r="AP17" i="1"/>
  <c r="AQ17" i="1"/>
  <c r="AR17" i="1"/>
  <c r="AS17" i="1"/>
  <c r="AT17" i="1"/>
  <c r="AU17" i="1"/>
  <c r="AV17" i="1"/>
  <c r="AP18" i="1"/>
  <c r="AQ18" i="1"/>
  <c r="AR18" i="1"/>
  <c r="AS18" i="1"/>
  <c r="AT18" i="1"/>
  <c r="AU18" i="1"/>
  <c r="AV18" i="1"/>
  <c r="AP19" i="1"/>
  <c r="AQ19" i="1"/>
  <c r="AR19" i="1"/>
  <c r="AS19" i="1"/>
  <c r="AT19" i="1"/>
  <c r="AU19" i="1"/>
  <c r="AV19" i="1"/>
  <c r="AP20" i="1"/>
  <c r="AQ20" i="1"/>
  <c r="AR20" i="1"/>
  <c r="AS20" i="1"/>
  <c r="AT20" i="1"/>
  <c r="AU20" i="1"/>
  <c r="AV20" i="1"/>
  <c r="AP21" i="1"/>
  <c r="AQ21" i="1"/>
  <c r="AR21" i="1"/>
  <c r="AS21" i="1"/>
  <c r="AT21" i="1"/>
  <c r="AU21" i="1"/>
  <c r="AV21" i="1"/>
  <c r="AP22" i="1"/>
  <c r="AQ22" i="1"/>
  <c r="AR22" i="1"/>
  <c r="AS22" i="1"/>
  <c r="AT22" i="1"/>
  <c r="AU22" i="1"/>
  <c r="AV22" i="1"/>
  <c r="AP23" i="1"/>
  <c r="AQ23" i="1"/>
  <c r="AR23" i="1"/>
  <c r="AS23" i="1"/>
  <c r="AT23" i="1"/>
  <c r="AU23" i="1"/>
  <c r="AV23" i="1"/>
  <c r="AP24" i="1"/>
  <c r="AQ24" i="1"/>
  <c r="AR24" i="1"/>
  <c r="AS24" i="1"/>
  <c r="AT24" i="1"/>
  <c r="AU24" i="1"/>
  <c r="AV24" i="1"/>
  <c r="AP25" i="1"/>
  <c r="AQ25" i="1"/>
  <c r="AR25" i="1"/>
  <c r="AS25" i="1"/>
  <c r="AT25" i="1"/>
  <c r="AU25" i="1"/>
  <c r="AV25" i="1"/>
  <c r="AP26" i="1"/>
  <c r="AQ26" i="1"/>
  <c r="AR26" i="1"/>
  <c r="AS26" i="1"/>
  <c r="AT26" i="1"/>
  <c r="AU26" i="1"/>
  <c r="AV26" i="1"/>
  <c r="AP27" i="1"/>
  <c r="AQ27" i="1"/>
  <c r="AR27" i="1"/>
  <c r="AS27" i="1"/>
  <c r="AT27" i="1"/>
  <c r="AU27" i="1"/>
  <c r="AV27" i="1"/>
  <c r="AP28" i="1"/>
  <c r="AQ28" i="1"/>
  <c r="AR28" i="1"/>
  <c r="AS28" i="1"/>
  <c r="AT28" i="1"/>
  <c r="AU28" i="1"/>
  <c r="AV28" i="1"/>
  <c r="AP29" i="1"/>
  <c r="AQ29" i="1"/>
  <c r="AR29" i="1"/>
  <c r="AS29" i="1"/>
  <c r="AT29" i="1"/>
  <c r="AU29" i="1"/>
  <c r="AV29" i="1"/>
  <c r="AP30" i="1"/>
  <c r="AQ30" i="1"/>
  <c r="AR30" i="1"/>
  <c r="AS30" i="1"/>
  <c r="AT30" i="1"/>
  <c r="AU30" i="1"/>
  <c r="AV30" i="1"/>
  <c r="AP31" i="1"/>
  <c r="AQ31" i="1"/>
  <c r="AR31" i="1"/>
  <c r="AS31" i="1"/>
  <c r="AT31" i="1"/>
  <c r="AU31" i="1"/>
  <c r="AV31" i="1"/>
  <c r="AP32" i="1"/>
  <c r="AQ32" i="1"/>
  <c r="AR32" i="1"/>
  <c r="AS32" i="1"/>
  <c r="AT32" i="1"/>
  <c r="AU32" i="1"/>
  <c r="AV32" i="1"/>
  <c r="AP33" i="1"/>
  <c r="AQ33" i="1"/>
  <c r="AR33" i="1"/>
  <c r="AS33" i="1"/>
  <c r="AT33" i="1"/>
  <c r="AU33" i="1"/>
  <c r="AV33" i="1"/>
  <c r="AP34" i="1"/>
  <c r="AQ34" i="1"/>
  <c r="AR34" i="1"/>
  <c r="AS34" i="1"/>
  <c r="AT34" i="1"/>
  <c r="AU34" i="1"/>
  <c r="AV34" i="1"/>
  <c r="AP35" i="1"/>
  <c r="AQ35" i="1"/>
  <c r="AR35" i="1"/>
  <c r="AS35" i="1"/>
  <c r="AT35" i="1"/>
  <c r="AU35" i="1"/>
  <c r="AV35" i="1"/>
  <c r="AP36" i="1"/>
  <c r="AQ36" i="1"/>
  <c r="AR36" i="1"/>
  <c r="AS36" i="1"/>
  <c r="AT36" i="1"/>
  <c r="AU36" i="1"/>
  <c r="AV36" i="1"/>
  <c r="AP37" i="1"/>
  <c r="AQ37" i="1"/>
  <c r="AR37" i="1"/>
  <c r="AS37" i="1"/>
  <c r="AT37" i="1"/>
  <c r="AU37" i="1"/>
  <c r="AV37" i="1"/>
  <c r="AP38" i="1"/>
  <c r="AQ38" i="1"/>
  <c r="AR38" i="1"/>
  <c r="AS38" i="1"/>
  <c r="AT38" i="1"/>
  <c r="AU38" i="1"/>
  <c r="AV38" i="1"/>
  <c r="AP39" i="1"/>
  <c r="AQ39" i="1"/>
  <c r="AR39" i="1"/>
  <c r="AS39" i="1"/>
  <c r="AT39" i="1"/>
  <c r="AU39" i="1"/>
  <c r="AV39" i="1"/>
  <c r="AP40" i="1"/>
  <c r="AQ40" i="1"/>
  <c r="AR40" i="1"/>
  <c r="AS40" i="1"/>
  <c r="AT40" i="1"/>
  <c r="AU40" i="1"/>
  <c r="AV40" i="1"/>
  <c r="AP41" i="1"/>
  <c r="AQ41" i="1"/>
  <c r="AR41" i="1"/>
  <c r="AS41" i="1"/>
  <c r="AT41" i="1"/>
  <c r="AU41" i="1"/>
  <c r="AV41" i="1"/>
  <c r="AP42" i="1"/>
  <c r="AQ42" i="1"/>
  <c r="AR42" i="1"/>
  <c r="AS42" i="1"/>
  <c r="AT42" i="1"/>
  <c r="AU42" i="1"/>
  <c r="AV42" i="1"/>
  <c r="AP43" i="1"/>
  <c r="AQ43" i="1"/>
  <c r="AR43" i="1"/>
  <c r="AS43" i="1"/>
  <c r="AT43" i="1"/>
  <c r="AU43" i="1"/>
  <c r="AV43" i="1"/>
  <c r="AP44" i="1"/>
  <c r="AQ44" i="1"/>
  <c r="AR44" i="1"/>
  <c r="AS44" i="1"/>
  <c r="AT44" i="1"/>
  <c r="AU44" i="1"/>
  <c r="AV44" i="1"/>
  <c r="AP45" i="1"/>
  <c r="AQ45" i="1"/>
  <c r="AR45" i="1"/>
  <c r="AS45" i="1"/>
  <c r="AT45" i="1"/>
  <c r="AU45" i="1"/>
  <c r="AV45" i="1"/>
  <c r="AP46" i="1"/>
  <c r="AQ46" i="1"/>
  <c r="AR46" i="1"/>
  <c r="AS46" i="1"/>
  <c r="AT46" i="1"/>
  <c r="AU46" i="1"/>
  <c r="AV46" i="1"/>
  <c r="AP47" i="1"/>
  <c r="AQ47" i="1"/>
  <c r="AR47" i="1"/>
  <c r="AS47" i="1"/>
  <c r="AT47" i="1"/>
  <c r="AU47" i="1"/>
  <c r="AV47" i="1"/>
  <c r="AP48" i="1"/>
  <c r="AQ48" i="1"/>
  <c r="AR48" i="1"/>
  <c r="AS48" i="1"/>
  <c r="AT48" i="1"/>
  <c r="AU48" i="1"/>
  <c r="AV48" i="1"/>
  <c r="AP49" i="1"/>
  <c r="AQ49" i="1"/>
  <c r="AR49" i="1"/>
  <c r="AS49" i="1"/>
  <c r="AT49" i="1"/>
  <c r="AU49" i="1"/>
  <c r="AV49" i="1"/>
  <c r="AP50" i="1"/>
  <c r="AQ50" i="1"/>
  <c r="AR50" i="1"/>
  <c r="AS50" i="1"/>
  <c r="AT50" i="1"/>
  <c r="AU50" i="1"/>
  <c r="AV50" i="1"/>
  <c r="AP51" i="1"/>
  <c r="AQ51" i="1"/>
  <c r="AR51" i="1"/>
  <c r="AS51" i="1"/>
  <c r="AT51" i="1"/>
  <c r="AU51" i="1"/>
  <c r="AV51" i="1"/>
  <c r="AP52" i="1"/>
  <c r="AQ52" i="1"/>
  <c r="AR52" i="1"/>
  <c r="AS52" i="1"/>
  <c r="AT52" i="1"/>
  <c r="AU52" i="1"/>
  <c r="AV52" i="1"/>
  <c r="AP53" i="1"/>
  <c r="AQ53" i="1"/>
  <c r="AR53" i="1"/>
  <c r="AS53" i="1"/>
  <c r="AT53" i="1"/>
  <c r="AU53" i="1"/>
  <c r="AV53" i="1"/>
  <c r="AP54" i="1"/>
  <c r="AQ54" i="1"/>
  <c r="AR54" i="1"/>
  <c r="AS54" i="1"/>
  <c r="AT54" i="1"/>
  <c r="AU54" i="1"/>
  <c r="AV54" i="1"/>
  <c r="AP55" i="1"/>
  <c r="AQ55" i="1"/>
  <c r="AR55" i="1"/>
  <c r="AS55" i="1"/>
  <c r="AT55" i="1"/>
  <c r="AU55" i="1"/>
  <c r="AV55" i="1"/>
  <c r="AP56" i="1"/>
  <c r="AQ56" i="1"/>
  <c r="AR56" i="1"/>
  <c r="AS56" i="1"/>
  <c r="AT56" i="1"/>
  <c r="AU56" i="1"/>
  <c r="AV56" i="1"/>
  <c r="AP57" i="1"/>
  <c r="AQ57" i="1"/>
  <c r="AR57" i="1"/>
  <c r="AS57" i="1"/>
  <c r="AT57" i="1"/>
  <c r="AU57" i="1"/>
  <c r="AV57" i="1"/>
  <c r="AP58" i="1"/>
  <c r="AQ58" i="1"/>
  <c r="AR58" i="1"/>
  <c r="AS58" i="1"/>
  <c r="AT58" i="1"/>
  <c r="AU58" i="1"/>
  <c r="AV58" i="1"/>
  <c r="AP59" i="1"/>
  <c r="AQ59" i="1"/>
  <c r="AR59" i="1"/>
  <c r="AS59" i="1"/>
  <c r="AT59" i="1"/>
  <c r="AU59" i="1"/>
  <c r="AV59" i="1"/>
  <c r="AP60" i="1"/>
  <c r="AQ60" i="1"/>
  <c r="AR60" i="1"/>
  <c r="AS60" i="1"/>
  <c r="AT60" i="1"/>
  <c r="AU60" i="1"/>
  <c r="AV60" i="1"/>
  <c r="AP61" i="1"/>
  <c r="AQ61" i="1"/>
  <c r="AR61" i="1"/>
  <c r="AS61" i="1"/>
  <c r="AT61" i="1"/>
  <c r="AU61" i="1"/>
  <c r="AV61" i="1"/>
  <c r="AP62" i="1"/>
  <c r="AQ62" i="1"/>
  <c r="AR62" i="1"/>
  <c r="AS62" i="1"/>
  <c r="AT62" i="1"/>
  <c r="AU62" i="1"/>
  <c r="AV62" i="1"/>
  <c r="AP63" i="1"/>
  <c r="AQ63" i="1"/>
  <c r="AR63" i="1"/>
  <c r="AS63" i="1"/>
  <c r="AT63" i="1"/>
  <c r="AU63" i="1"/>
  <c r="AV63" i="1"/>
  <c r="AP64" i="1"/>
  <c r="AQ64" i="1"/>
  <c r="AR64" i="1"/>
  <c r="AS64" i="1"/>
  <c r="AT64" i="1"/>
  <c r="AU64" i="1"/>
  <c r="AV64" i="1"/>
  <c r="AP65" i="1"/>
  <c r="AQ65" i="1"/>
  <c r="AR65" i="1"/>
  <c r="AS65" i="1"/>
  <c r="AT65" i="1"/>
  <c r="AU65" i="1"/>
  <c r="AV65" i="1"/>
  <c r="AP66" i="1"/>
  <c r="AQ66" i="1"/>
  <c r="AR66" i="1"/>
  <c r="AS66" i="1"/>
  <c r="AT66" i="1"/>
  <c r="AU66" i="1"/>
  <c r="AV66" i="1"/>
  <c r="AP67" i="1"/>
  <c r="AQ67" i="1"/>
  <c r="AR67" i="1"/>
  <c r="AS67" i="1"/>
  <c r="AT67" i="1"/>
  <c r="AU67" i="1"/>
  <c r="AV67" i="1"/>
  <c r="AP68" i="1"/>
  <c r="AQ68" i="1"/>
  <c r="AR68" i="1"/>
  <c r="AS68" i="1"/>
  <c r="AT68" i="1"/>
  <c r="AU68" i="1"/>
  <c r="AV68" i="1"/>
  <c r="AP69" i="1"/>
  <c r="AQ69" i="1"/>
  <c r="AR69" i="1"/>
  <c r="AS69" i="1"/>
  <c r="AT69" i="1"/>
  <c r="AU69" i="1"/>
  <c r="AV69" i="1"/>
  <c r="AP70" i="1"/>
  <c r="AQ70" i="1"/>
  <c r="AR70" i="1"/>
  <c r="AS70" i="1"/>
  <c r="AT70" i="1"/>
  <c r="AU70" i="1"/>
  <c r="AV70" i="1"/>
  <c r="AP71" i="1"/>
  <c r="AQ71" i="1"/>
  <c r="AR71" i="1"/>
  <c r="AS71" i="1"/>
  <c r="AT71" i="1"/>
  <c r="AU71" i="1"/>
  <c r="AV71" i="1"/>
  <c r="AP72" i="1"/>
  <c r="AQ72" i="1"/>
  <c r="AR72" i="1"/>
  <c r="AS72" i="1"/>
  <c r="AT72" i="1"/>
  <c r="AU72" i="1"/>
  <c r="AV72" i="1"/>
  <c r="AP73" i="1"/>
  <c r="AQ73" i="1"/>
  <c r="AR73" i="1"/>
  <c r="AS73" i="1"/>
  <c r="AT73" i="1"/>
  <c r="AU73" i="1"/>
  <c r="AV73" i="1"/>
  <c r="AP74" i="1"/>
  <c r="AQ74" i="1"/>
  <c r="AR74" i="1"/>
  <c r="AS74" i="1"/>
  <c r="AT74" i="1"/>
  <c r="AU74" i="1"/>
  <c r="AV74" i="1"/>
  <c r="AP75" i="1"/>
  <c r="AQ75" i="1"/>
  <c r="AR75" i="1"/>
  <c r="AS75" i="1"/>
  <c r="AT75" i="1"/>
  <c r="AU75" i="1"/>
  <c r="AV75" i="1"/>
  <c r="AP76" i="1"/>
  <c r="AQ76" i="1"/>
  <c r="AR76" i="1"/>
  <c r="AS76" i="1"/>
  <c r="AT76" i="1"/>
  <c r="AU76" i="1"/>
  <c r="AV76" i="1"/>
  <c r="AP77" i="1"/>
  <c r="AQ77" i="1"/>
  <c r="AR77" i="1"/>
  <c r="AS77" i="1"/>
  <c r="AT77" i="1"/>
  <c r="AU77" i="1"/>
  <c r="AV77" i="1"/>
  <c r="AP78" i="1"/>
  <c r="AQ78" i="1"/>
  <c r="AR78" i="1"/>
  <c r="AS78" i="1"/>
  <c r="AT78" i="1"/>
  <c r="AU78" i="1"/>
  <c r="AV78" i="1"/>
  <c r="AP79" i="1"/>
  <c r="AQ79" i="1"/>
  <c r="AR79" i="1"/>
  <c r="AS79" i="1"/>
  <c r="AT79" i="1"/>
  <c r="AU79" i="1"/>
  <c r="AV79" i="1"/>
  <c r="AP80" i="1"/>
  <c r="AQ80" i="1"/>
  <c r="AR80" i="1"/>
  <c r="AS80" i="1"/>
  <c r="AT80" i="1"/>
  <c r="AU80" i="1"/>
  <c r="AV80" i="1"/>
  <c r="AP81" i="1"/>
  <c r="AQ81" i="1"/>
  <c r="AR81" i="1"/>
  <c r="AS81" i="1"/>
  <c r="AT81" i="1"/>
  <c r="AU81" i="1"/>
  <c r="AV81" i="1"/>
  <c r="AP82" i="1"/>
  <c r="AQ82" i="1"/>
  <c r="AR82" i="1"/>
  <c r="AS82" i="1"/>
  <c r="AT82" i="1"/>
  <c r="AU82" i="1"/>
  <c r="AV82" i="1"/>
  <c r="AP83" i="1"/>
  <c r="AQ83" i="1"/>
  <c r="AR83" i="1"/>
  <c r="AS83" i="1"/>
  <c r="AT83" i="1"/>
  <c r="AU83" i="1"/>
  <c r="AV83" i="1"/>
  <c r="AP84" i="1"/>
  <c r="AQ84" i="1"/>
  <c r="AR84" i="1"/>
  <c r="AS84" i="1"/>
  <c r="AT84" i="1"/>
  <c r="AU84" i="1"/>
  <c r="AV84" i="1"/>
  <c r="AP85" i="1"/>
  <c r="AQ85" i="1"/>
  <c r="AR85" i="1"/>
  <c r="AS85" i="1"/>
  <c r="AT85" i="1"/>
  <c r="AU85" i="1"/>
  <c r="AV85" i="1"/>
  <c r="AP86" i="1"/>
  <c r="AQ86" i="1"/>
  <c r="AR86" i="1"/>
  <c r="AS86" i="1"/>
  <c r="AT86" i="1"/>
  <c r="AU86" i="1"/>
  <c r="AV86" i="1"/>
  <c r="AP87" i="1"/>
  <c r="AQ87" i="1"/>
  <c r="AR87" i="1"/>
  <c r="AS87" i="1"/>
  <c r="AT87" i="1"/>
  <c r="AU87" i="1"/>
  <c r="AV87" i="1"/>
  <c r="AP88" i="1"/>
  <c r="AQ88" i="1"/>
  <c r="AR88" i="1"/>
  <c r="AS88" i="1"/>
  <c r="AT88" i="1"/>
  <c r="AU88" i="1"/>
  <c r="AV88" i="1"/>
  <c r="AP89" i="1"/>
  <c r="AQ89" i="1"/>
  <c r="AR89" i="1"/>
  <c r="AS89" i="1"/>
  <c r="AT89" i="1"/>
  <c r="AU89" i="1"/>
  <c r="AV89" i="1"/>
  <c r="AP90" i="1"/>
  <c r="AQ90" i="1"/>
  <c r="AR90" i="1"/>
  <c r="AS90" i="1"/>
  <c r="AT90" i="1"/>
  <c r="AU90" i="1"/>
  <c r="AV90" i="1"/>
  <c r="AP91" i="1"/>
  <c r="AQ91" i="1"/>
  <c r="AR91" i="1"/>
  <c r="AS91" i="1"/>
  <c r="AT91" i="1"/>
  <c r="AU91" i="1"/>
  <c r="AV91" i="1"/>
  <c r="AP92" i="1"/>
  <c r="AQ92" i="1"/>
  <c r="AR92" i="1"/>
  <c r="AS92" i="1"/>
  <c r="AT92" i="1"/>
  <c r="AU92" i="1"/>
  <c r="AV92" i="1"/>
  <c r="AP93" i="1"/>
  <c r="AQ93" i="1"/>
  <c r="AR93" i="1"/>
  <c r="AS93" i="1"/>
  <c r="AT93" i="1"/>
  <c r="AU93" i="1"/>
  <c r="AV93" i="1"/>
  <c r="AP94" i="1"/>
  <c r="AQ94" i="1"/>
  <c r="AR94" i="1"/>
  <c r="AS94" i="1"/>
  <c r="AT94" i="1"/>
  <c r="AU94" i="1"/>
  <c r="AV94" i="1"/>
  <c r="AP95" i="1"/>
  <c r="AQ95" i="1"/>
  <c r="AR95" i="1"/>
  <c r="AS95" i="1"/>
  <c r="AT95" i="1"/>
  <c r="AU95" i="1"/>
  <c r="AV95" i="1"/>
  <c r="AP96" i="1"/>
  <c r="AQ96" i="1"/>
  <c r="AR96" i="1"/>
  <c r="AS96" i="1"/>
  <c r="AT96" i="1"/>
  <c r="AU96" i="1"/>
  <c r="AV96" i="1"/>
  <c r="AP97" i="1"/>
  <c r="AQ97" i="1"/>
  <c r="AR97" i="1"/>
  <c r="AS97" i="1"/>
  <c r="AT97" i="1"/>
  <c r="AU97" i="1"/>
  <c r="AV97" i="1"/>
  <c r="AP98" i="1"/>
  <c r="AQ98" i="1"/>
  <c r="AR98" i="1"/>
  <c r="AS98" i="1"/>
  <c r="AT98" i="1"/>
  <c r="AU98" i="1"/>
  <c r="AV98" i="1"/>
  <c r="AP99" i="1"/>
  <c r="AQ99" i="1"/>
  <c r="AR99" i="1"/>
  <c r="AS99" i="1"/>
  <c r="AT99" i="1"/>
  <c r="AU99" i="1"/>
  <c r="AV99" i="1"/>
  <c r="AP100" i="1"/>
  <c r="AQ100" i="1"/>
  <c r="AR100" i="1"/>
  <c r="AS100" i="1"/>
  <c r="AT100" i="1"/>
  <c r="AU100" i="1"/>
  <c r="AV100" i="1"/>
  <c r="AP101" i="1"/>
  <c r="AQ101" i="1"/>
  <c r="AR101" i="1"/>
  <c r="AS101" i="1"/>
  <c r="AT101" i="1"/>
  <c r="AU101" i="1"/>
  <c r="AV101" i="1"/>
  <c r="AP102" i="1"/>
  <c r="AQ102" i="1"/>
  <c r="AR102" i="1"/>
  <c r="AS102" i="1"/>
  <c r="AT102" i="1"/>
  <c r="AU102" i="1"/>
  <c r="AV102" i="1"/>
  <c r="AP103" i="1"/>
  <c r="AQ103" i="1"/>
  <c r="AR103" i="1"/>
  <c r="AS103" i="1"/>
  <c r="AT103" i="1"/>
  <c r="AU103" i="1"/>
  <c r="AV103" i="1"/>
  <c r="AP104" i="1"/>
  <c r="AQ104" i="1"/>
  <c r="AR104" i="1"/>
  <c r="AS104" i="1"/>
  <c r="AT104" i="1"/>
  <c r="AU104" i="1"/>
  <c r="AV104" i="1"/>
  <c r="AP105" i="1"/>
  <c r="AQ105" i="1"/>
  <c r="AR105" i="1"/>
  <c r="AS105" i="1"/>
  <c r="AT105" i="1"/>
  <c r="AU105" i="1"/>
  <c r="AV105" i="1"/>
  <c r="AP106" i="1"/>
  <c r="AQ106" i="1"/>
  <c r="AR106" i="1"/>
  <c r="AS106" i="1"/>
  <c r="AT106" i="1"/>
  <c r="AU106" i="1"/>
  <c r="AV106" i="1"/>
  <c r="AP107" i="1"/>
  <c r="AQ107" i="1"/>
  <c r="AR107" i="1"/>
  <c r="AS107" i="1"/>
  <c r="AT107" i="1"/>
  <c r="AU107" i="1"/>
  <c r="AV107" i="1"/>
  <c r="AP108" i="1"/>
  <c r="AQ108" i="1"/>
  <c r="AR108" i="1"/>
  <c r="AS108" i="1"/>
  <c r="AT108" i="1"/>
  <c r="AU108" i="1"/>
  <c r="AV108" i="1"/>
  <c r="AP109" i="1"/>
  <c r="AQ109" i="1"/>
  <c r="AR109" i="1"/>
  <c r="AS109" i="1"/>
  <c r="AT109" i="1"/>
  <c r="AU109" i="1"/>
  <c r="AV109" i="1"/>
  <c r="AP110" i="1"/>
  <c r="AQ110" i="1"/>
  <c r="AR110" i="1"/>
  <c r="AS110" i="1"/>
  <c r="AT110" i="1"/>
  <c r="AU110" i="1"/>
  <c r="AV110" i="1"/>
  <c r="AP111" i="1"/>
  <c r="AQ111" i="1"/>
  <c r="AR111" i="1"/>
  <c r="AS111" i="1"/>
  <c r="AT111" i="1"/>
  <c r="AU111" i="1"/>
  <c r="AV111" i="1"/>
  <c r="AP112" i="1"/>
  <c r="AQ112" i="1"/>
  <c r="AR112" i="1"/>
  <c r="AS112" i="1"/>
  <c r="AT112" i="1"/>
  <c r="AU112" i="1"/>
  <c r="AV112" i="1"/>
  <c r="AP6" i="1"/>
  <c r="AQ6" i="1"/>
  <c r="AR6" i="1"/>
  <c r="AS6" i="1"/>
  <c r="AT6" i="1"/>
  <c r="AU6" i="1"/>
  <c r="AV6" i="1"/>
  <c r="AP7" i="1"/>
  <c r="AQ7" i="1"/>
  <c r="AR7" i="1"/>
  <c r="AS7" i="1"/>
  <c r="AT7" i="1"/>
  <c r="AU7" i="1"/>
  <c r="AV7" i="1"/>
  <c r="AP8" i="1"/>
  <c r="AQ8" i="1"/>
  <c r="AR8" i="1"/>
  <c r="AS8" i="1"/>
  <c r="AT8" i="1"/>
  <c r="AU8" i="1"/>
  <c r="AV8" i="1"/>
  <c r="AP9" i="1"/>
  <c r="AQ9" i="1"/>
  <c r="AR9" i="1"/>
  <c r="AS9" i="1"/>
  <c r="AT9" i="1"/>
  <c r="AU9" i="1"/>
  <c r="AV9" i="1"/>
  <c r="AP10" i="1"/>
  <c r="AQ10" i="1"/>
  <c r="AR10" i="1"/>
  <c r="AS10" i="1"/>
  <c r="AT10" i="1"/>
  <c r="AU10" i="1"/>
  <c r="AV10" i="1"/>
  <c r="AP11" i="1"/>
  <c r="AQ11" i="1"/>
  <c r="AR11" i="1"/>
  <c r="AS11" i="1"/>
  <c r="AT11" i="1"/>
  <c r="AU11" i="1"/>
  <c r="AV11" i="1"/>
  <c r="AP12" i="1"/>
  <c r="AQ12" i="1"/>
  <c r="AR12" i="1"/>
  <c r="AS12" i="1"/>
  <c r="AT12" i="1"/>
  <c r="AU12" i="1"/>
  <c r="AV12" i="1"/>
  <c r="AP13" i="1"/>
  <c r="AQ13" i="1"/>
  <c r="AR13" i="1"/>
  <c r="AS13" i="1"/>
  <c r="AT13" i="1"/>
  <c r="AU13" i="1"/>
  <c r="AV13" i="1"/>
  <c r="AP14" i="1"/>
  <c r="AQ14" i="1"/>
  <c r="AR14" i="1"/>
  <c r="AS14" i="1"/>
  <c r="AT14" i="1"/>
  <c r="AU14" i="1"/>
  <c r="AV14" i="1"/>
  <c r="AP15" i="1"/>
  <c r="AQ15" i="1"/>
  <c r="AR15" i="1"/>
  <c r="AS15" i="1"/>
  <c r="AT15" i="1"/>
  <c r="AU15" i="1"/>
  <c r="AV15" i="1"/>
  <c r="AP16" i="1"/>
  <c r="AQ16" i="1"/>
  <c r="AR16" i="1"/>
  <c r="AS16" i="1"/>
  <c r="AT16" i="1"/>
  <c r="AU16" i="1"/>
  <c r="AV16" i="1"/>
  <c r="AQ5" i="1"/>
  <c r="AR5" i="1"/>
  <c r="AS5" i="1"/>
  <c r="AT5" i="1"/>
  <c r="AU5" i="1"/>
  <c r="AV5" i="1"/>
  <c r="AP5" i="1"/>
  <c r="BD64" i="6"/>
  <c r="BE42" i="6"/>
  <c r="BE43" i="6"/>
  <c r="BE44" i="6"/>
  <c r="BE45" i="6"/>
  <c r="BE46" i="6"/>
  <c r="BE47" i="6"/>
  <c r="BE48" i="6"/>
  <c r="BE49" i="6"/>
  <c r="BE50" i="6"/>
  <c r="BE51" i="6"/>
  <c r="BE52" i="6"/>
  <c r="BE53" i="6"/>
  <c r="BE54" i="6"/>
  <c r="BE55" i="6"/>
  <c r="BE56" i="6"/>
  <c r="BE57" i="6"/>
  <c r="BE58" i="6"/>
  <c r="BE59" i="6"/>
  <c r="BE60" i="6"/>
  <c r="BE61" i="6"/>
  <c r="BE62" i="6"/>
  <c r="BE63" i="6"/>
  <c r="BE41" i="6"/>
  <c r="AO63" i="5"/>
  <c r="AO41" i="5"/>
  <c r="AO42" i="5"/>
  <c r="AO43" i="5"/>
  <c r="AO44" i="5"/>
  <c r="AO45" i="5"/>
  <c r="AO46" i="5"/>
  <c r="AO47" i="5"/>
  <c r="AO48" i="5"/>
  <c r="AO49" i="5"/>
  <c r="AO50" i="5"/>
  <c r="AO51" i="5"/>
  <c r="AO52" i="5"/>
  <c r="AO53" i="5"/>
  <c r="AO54" i="5"/>
  <c r="AO55" i="5"/>
  <c r="AO56" i="5"/>
  <c r="AO57" i="5"/>
  <c r="AO58" i="5"/>
  <c r="AO59" i="5"/>
  <c r="AO60" i="5"/>
  <c r="AO61" i="5"/>
  <c r="AO62" i="5"/>
  <c r="AO40" i="5"/>
  <c r="AI19" i="5"/>
  <c r="AI9" i="5"/>
  <c r="AI6" i="5"/>
  <c r="I24" i="3"/>
  <c r="Q24" i="3" s="1"/>
  <c r="AO24" i="3" s="1"/>
  <c r="AP24" i="3" s="1"/>
  <c r="H24" i="3"/>
  <c r="P24" i="3" s="1"/>
  <c r="AM24" i="3" s="1"/>
  <c r="AN24" i="3" s="1"/>
  <c r="G24" i="3"/>
  <c r="O24" i="3" s="1"/>
  <c r="AK24" i="3" s="1"/>
  <c r="AL24" i="3" s="1"/>
  <c r="F24" i="3"/>
  <c r="N24" i="3" s="1"/>
  <c r="AD24" i="3" s="1"/>
  <c r="AE24" i="3" s="1"/>
  <c r="E24" i="3"/>
  <c r="M24" i="3" s="1"/>
  <c r="D24" i="3"/>
  <c r="L24" i="3" s="1"/>
  <c r="C24" i="3"/>
  <c r="K24" i="3" s="1"/>
  <c r="W24" i="3" s="1"/>
  <c r="X24" i="3" s="1"/>
  <c r="B24" i="3"/>
  <c r="J24" i="3" s="1"/>
  <c r="I23" i="3"/>
  <c r="Q23" i="3" s="1"/>
  <c r="AO23" i="3" s="1"/>
  <c r="AP23" i="3" s="1"/>
  <c r="H23" i="3"/>
  <c r="P23" i="3" s="1"/>
  <c r="AM23" i="3" s="1"/>
  <c r="AN23" i="3" s="1"/>
  <c r="G23" i="3"/>
  <c r="O23" i="3" s="1"/>
  <c r="AK23" i="3" s="1"/>
  <c r="AL23" i="3" s="1"/>
  <c r="F23" i="3"/>
  <c r="N23" i="3" s="1"/>
  <c r="AD23" i="3" s="1"/>
  <c r="AE23" i="3" s="1"/>
  <c r="E23" i="3"/>
  <c r="M23" i="3" s="1"/>
  <c r="D23" i="3"/>
  <c r="L23" i="3" s="1"/>
  <c r="C23" i="3"/>
  <c r="K23" i="3" s="1"/>
  <c r="W23" i="3" s="1"/>
  <c r="X23" i="3" s="1"/>
  <c r="B23" i="3"/>
  <c r="J23" i="3" s="1"/>
  <c r="I22" i="3"/>
  <c r="Q22" i="3" s="1"/>
  <c r="AO22" i="3" s="1"/>
  <c r="AP22" i="3" s="1"/>
  <c r="H22" i="3"/>
  <c r="P22" i="3" s="1"/>
  <c r="AM22" i="3" s="1"/>
  <c r="AN22" i="3" s="1"/>
  <c r="G22" i="3"/>
  <c r="O22" i="3" s="1"/>
  <c r="AK22" i="3" s="1"/>
  <c r="AL22" i="3" s="1"/>
  <c r="F22" i="3"/>
  <c r="N22" i="3" s="1"/>
  <c r="AD22" i="3" s="1"/>
  <c r="AE22" i="3" s="1"/>
  <c r="E22" i="3"/>
  <c r="M22" i="3" s="1"/>
  <c r="D22" i="3"/>
  <c r="L22" i="3" s="1"/>
  <c r="C22" i="3"/>
  <c r="K22" i="3" s="1"/>
  <c r="W22" i="3" s="1"/>
  <c r="X22" i="3" s="1"/>
  <c r="B22" i="3"/>
  <c r="J22" i="3" s="1"/>
  <c r="I21" i="3"/>
  <c r="Q21" i="3" s="1"/>
  <c r="AO21" i="3" s="1"/>
  <c r="AP21" i="3" s="1"/>
  <c r="H21" i="3"/>
  <c r="P21" i="3" s="1"/>
  <c r="AM21" i="3" s="1"/>
  <c r="AN21" i="3" s="1"/>
  <c r="G21" i="3"/>
  <c r="O21" i="3" s="1"/>
  <c r="AK21" i="3" s="1"/>
  <c r="AL21" i="3" s="1"/>
  <c r="F21" i="3"/>
  <c r="N21" i="3" s="1"/>
  <c r="AD21" i="3" s="1"/>
  <c r="AE21" i="3" s="1"/>
  <c r="E21" i="3"/>
  <c r="M21" i="3" s="1"/>
  <c r="D21" i="3"/>
  <c r="L21" i="3" s="1"/>
  <c r="C21" i="3"/>
  <c r="K21" i="3" s="1"/>
  <c r="W21" i="3" s="1"/>
  <c r="X21" i="3" s="1"/>
  <c r="B21" i="3"/>
  <c r="J21" i="3" s="1"/>
  <c r="I20" i="3"/>
  <c r="Q20" i="3" s="1"/>
  <c r="AO20" i="3" s="1"/>
  <c r="AP20" i="3" s="1"/>
  <c r="H20" i="3"/>
  <c r="P20" i="3" s="1"/>
  <c r="AM20" i="3" s="1"/>
  <c r="AN20" i="3" s="1"/>
  <c r="G20" i="3"/>
  <c r="O20" i="3" s="1"/>
  <c r="AK20" i="3" s="1"/>
  <c r="AL20" i="3" s="1"/>
  <c r="F20" i="3"/>
  <c r="N20" i="3" s="1"/>
  <c r="AD20" i="3" s="1"/>
  <c r="AE20" i="3" s="1"/>
  <c r="E20" i="3"/>
  <c r="M20" i="3" s="1"/>
  <c r="D20" i="3"/>
  <c r="L20" i="3" s="1"/>
  <c r="C20" i="3"/>
  <c r="K20" i="3" s="1"/>
  <c r="W20" i="3" s="1"/>
  <c r="X20" i="3" s="1"/>
  <c r="B20" i="3"/>
  <c r="J20" i="3" s="1"/>
  <c r="I19" i="3"/>
  <c r="Q19" i="3" s="1"/>
  <c r="AO19" i="3" s="1"/>
  <c r="AP19" i="3" s="1"/>
  <c r="H19" i="3"/>
  <c r="P19" i="3" s="1"/>
  <c r="AM19" i="3" s="1"/>
  <c r="AN19" i="3" s="1"/>
  <c r="G19" i="3"/>
  <c r="O19" i="3" s="1"/>
  <c r="AK19" i="3" s="1"/>
  <c r="AL19" i="3" s="1"/>
  <c r="F19" i="3"/>
  <c r="N19" i="3" s="1"/>
  <c r="AD19" i="3" s="1"/>
  <c r="AE19" i="3" s="1"/>
  <c r="E19" i="3"/>
  <c r="M19" i="3" s="1"/>
  <c r="D19" i="3"/>
  <c r="L19" i="3" s="1"/>
  <c r="C19" i="3"/>
  <c r="K19" i="3" s="1"/>
  <c r="W19" i="3" s="1"/>
  <c r="X19" i="3" s="1"/>
  <c r="B19" i="3"/>
  <c r="J19" i="3" s="1"/>
  <c r="I18" i="3"/>
  <c r="Q18" i="3" s="1"/>
  <c r="AO18" i="3" s="1"/>
  <c r="AP18" i="3" s="1"/>
  <c r="H18" i="3"/>
  <c r="P18" i="3" s="1"/>
  <c r="AM18" i="3" s="1"/>
  <c r="AN18" i="3" s="1"/>
  <c r="G18" i="3"/>
  <c r="O18" i="3" s="1"/>
  <c r="AK18" i="3" s="1"/>
  <c r="AL18" i="3" s="1"/>
  <c r="F18" i="3"/>
  <c r="N18" i="3" s="1"/>
  <c r="AD18" i="3" s="1"/>
  <c r="AE18" i="3" s="1"/>
  <c r="E18" i="3"/>
  <c r="M18" i="3" s="1"/>
  <c r="D18" i="3"/>
  <c r="L18" i="3" s="1"/>
  <c r="C18" i="3"/>
  <c r="K18" i="3" s="1"/>
  <c r="W18" i="3" s="1"/>
  <c r="X18" i="3" s="1"/>
  <c r="B18" i="3"/>
  <c r="J18" i="3" s="1"/>
  <c r="I17" i="3"/>
  <c r="Q17" i="3" s="1"/>
  <c r="AO17" i="3" s="1"/>
  <c r="AP17" i="3" s="1"/>
  <c r="H17" i="3"/>
  <c r="P17" i="3" s="1"/>
  <c r="AM17" i="3" s="1"/>
  <c r="AN17" i="3" s="1"/>
  <c r="G17" i="3"/>
  <c r="O17" i="3" s="1"/>
  <c r="AK17" i="3" s="1"/>
  <c r="AL17" i="3" s="1"/>
  <c r="F17" i="3"/>
  <c r="N17" i="3" s="1"/>
  <c r="AD17" i="3" s="1"/>
  <c r="AE17" i="3" s="1"/>
  <c r="E17" i="3"/>
  <c r="M17" i="3" s="1"/>
  <c r="D17" i="3"/>
  <c r="L17" i="3" s="1"/>
  <c r="C17" i="3"/>
  <c r="K17" i="3" s="1"/>
  <c r="W17" i="3" s="1"/>
  <c r="X17" i="3" s="1"/>
  <c r="B17" i="3"/>
  <c r="J17" i="3" s="1"/>
  <c r="I16" i="3"/>
  <c r="Q16" i="3" s="1"/>
  <c r="AO16" i="3" s="1"/>
  <c r="AP16" i="3" s="1"/>
  <c r="H16" i="3"/>
  <c r="P16" i="3" s="1"/>
  <c r="AM16" i="3" s="1"/>
  <c r="AN16" i="3" s="1"/>
  <c r="G16" i="3"/>
  <c r="O16" i="3" s="1"/>
  <c r="AK16" i="3" s="1"/>
  <c r="AL16" i="3" s="1"/>
  <c r="F16" i="3"/>
  <c r="N16" i="3" s="1"/>
  <c r="AD16" i="3" s="1"/>
  <c r="AE16" i="3" s="1"/>
  <c r="E16" i="3"/>
  <c r="M16" i="3" s="1"/>
  <c r="D16" i="3"/>
  <c r="L16" i="3" s="1"/>
  <c r="C16" i="3"/>
  <c r="K16" i="3" s="1"/>
  <c r="W16" i="3" s="1"/>
  <c r="X16" i="3" s="1"/>
  <c r="B16" i="3"/>
  <c r="J16" i="3" s="1"/>
  <c r="I15" i="3"/>
  <c r="Q15" i="3" s="1"/>
  <c r="AO15" i="3" s="1"/>
  <c r="AP15" i="3" s="1"/>
  <c r="H15" i="3"/>
  <c r="P15" i="3" s="1"/>
  <c r="AM15" i="3" s="1"/>
  <c r="AN15" i="3" s="1"/>
  <c r="G15" i="3"/>
  <c r="O15" i="3" s="1"/>
  <c r="AK15" i="3" s="1"/>
  <c r="AL15" i="3" s="1"/>
  <c r="F15" i="3"/>
  <c r="N15" i="3" s="1"/>
  <c r="AD15" i="3" s="1"/>
  <c r="AE15" i="3" s="1"/>
  <c r="E15" i="3"/>
  <c r="M15" i="3" s="1"/>
  <c r="D15" i="3"/>
  <c r="L15" i="3" s="1"/>
  <c r="C15" i="3"/>
  <c r="K15" i="3" s="1"/>
  <c r="W15" i="3" s="1"/>
  <c r="X15" i="3" s="1"/>
  <c r="B15" i="3"/>
  <c r="J15" i="3" s="1"/>
  <c r="I14" i="3"/>
  <c r="Q14" i="3" s="1"/>
  <c r="AO14" i="3" s="1"/>
  <c r="AP14" i="3" s="1"/>
  <c r="H14" i="3"/>
  <c r="P14" i="3" s="1"/>
  <c r="AM14" i="3" s="1"/>
  <c r="AN14" i="3" s="1"/>
  <c r="G14" i="3"/>
  <c r="O14" i="3" s="1"/>
  <c r="AK14" i="3" s="1"/>
  <c r="AL14" i="3" s="1"/>
  <c r="F14" i="3"/>
  <c r="N14" i="3" s="1"/>
  <c r="AD14" i="3" s="1"/>
  <c r="AE14" i="3" s="1"/>
  <c r="E14" i="3"/>
  <c r="M14" i="3" s="1"/>
  <c r="D14" i="3"/>
  <c r="L14" i="3" s="1"/>
  <c r="C14" i="3"/>
  <c r="K14" i="3" s="1"/>
  <c r="W14" i="3" s="1"/>
  <c r="X14" i="3" s="1"/>
  <c r="B14" i="3"/>
  <c r="J14" i="3" s="1"/>
  <c r="I13" i="3"/>
  <c r="Q13" i="3" s="1"/>
  <c r="AO13" i="3" s="1"/>
  <c r="AP13" i="3" s="1"/>
  <c r="H13" i="3"/>
  <c r="P13" i="3" s="1"/>
  <c r="AM13" i="3" s="1"/>
  <c r="AN13" i="3" s="1"/>
  <c r="G13" i="3"/>
  <c r="O13" i="3" s="1"/>
  <c r="AK13" i="3" s="1"/>
  <c r="AL13" i="3" s="1"/>
  <c r="F13" i="3"/>
  <c r="N13" i="3" s="1"/>
  <c r="AD13" i="3" s="1"/>
  <c r="AE13" i="3" s="1"/>
  <c r="E13" i="3"/>
  <c r="M13" i="3" s="1"/>
  <c r="D13" i="3"/>
  <c r="L13" i="3" s="1"/>
  <c r="C13" i="3"/>
  <c r="K13" i="3" s="1"/>
  <c r="W13" i="3" s="1"/>
  <c r="X13" i="3" s="1"/>
  <c r="B13" i="3"/>
  <c r="J13" i="3" s="1"/>
  <c r="I12" i="3"/>
  <c r="Q12" i="3" s="1"/>
  <c r="AO12" i="3" s="1"/>
  <c r="AP12" i="3" s="1"/>
  <c r="H12" i="3"/>
  <c r="P12" i="3" s="1"/>
  <c r="AM12" i="3" s="1"/>
  <c r="AN12" i="3" s="1"/>
  <c r="G12" i="3"/>
  <c r="O12" i="3" s="1"/>
  <c r="AK12" i="3" s="1"/>
  <c r="AL12" i="3" s="1"/>
  <c r="F12" i="3"/>
  <c r="N12" i="3" s="1"/>
  <c r="AD12" i="3" s="1"/>
  <c r="AE12" i="3" s="1"/>
  <c r="E12" i="3"/>
  <c r="M12" i="3" s="1"/>
  <c r="D12" i="3"/>
  <c r="L12" i="3" s="1"/>
  <c r="C12" i="3"/>
  <c r="K12" i="3" s="1"/>
  <c r="W12" i="3" s="1"/>
  <c r="X12" i="3" s="1"/>
  <c r="B12" i="3"/>
  <c r="J12" i="3" s="1"/>
  <c r="I11" i="3"/>
  <c r="Q11" i="3" s="1"/>
  <c r="AO11" i="3" s="1"/>
  <c r="AP11" i="3" s="1"/>
  <c r="H11" i="3"/>
  <c r="P11" i="3" s="1"/>
  <c r="AM11" i="3" s="1"/>
  <c r="AN11" i="3" s="1"/>
  <c r="G11" i="3"/>
  <c r="O11" i="3" s="1"/>
  <c r="AK11" i="3" s="1"/>
  <c r="AL11" i="3" s="1"/>
  <c r="F11" i="3"/>
  <c r="N11" i="3" s="1"/>
  <c r="AD11" i="3" s="1"/>
  <c r="AE11" i="3" s="1"/>
  <c r="E11" i="3"/>
  <c r="M11" i="3" s="1"/>
  <c r="D11" i="3"/>
  <c r="L11" i="3" s="1"/>
  <c r="C11" i="3"/>
  <c r="K11" i="3" s="1"/>
  <c r="W11" i="3" s="1"/>
  <c r="X11" i="3" s="1"/>
  <c r="B11" i="3"/>
  <c r="J11" i="3" s="1"/>
  <c r="I10" i="3"/>
  <c r="Q10" i="3" s="1"/>
  <c r="AO10" i="3" s="1"/>
  <c r="AP10" i="3" s="1"/>
  <c r="H10" i="3"/>
  <c r="P10" i="3" s="1"/>
  <c r="AM10" i="3" s="1"/>
  <c r="AN10" i="3" s="1"/>
  <c r="G10" i="3"/>
  <c r="O10" i="3" s="1"/>
  <c r="AK10" i="3" s="1"/>
  <c r="AL10" i="3" s="1"/>
  <c r="F10" i="3"/>
  <c r="N10" i="3" s="1"/>
  <c r="AD10" i="3" s="1"/>
  <c r="AE10" i="3" s="1"/>
  <c r="E10" i="3"/>
  <c r="M10" i="3" s="1"/>
  <c r="D10" i="3"/>
  <c r="L10" i="3" s="1"/>
  <c r="C10" i="3"/>
  <c r="K10" i="3" s="1"/>
  <c r="W10" i="3" s="1"/>
  <c r="X10" i="3" s="1"/>
  <c r="B10" i="3"/>
  <c r="J10" i="3" s="1"/>
  <c r="I9" i="3"/>
  <c r="Q9" i="3" s="1"/>
  <c r="AO9" i="3" s="1"/>
  <c r="AP9" i="3" s="1"/>
  <c r="H9" i="3"/>
  <c r="P9" i="3" s="1"/>
  <c r="AM9" i="3" s="1"/>
  <c r="AN9" i="3" s="1"/>
  <c r="G9" i="3"/>
  <c r="O9" i="3" s="1"/>
  <c r="AK9" i="3" s="1"/>
  <c r="AL9" i="3" s="1"/>
  <c r="F9" i="3"/>
  <c r="N9" i="3" s="1"/>
  <c r="AD9" i="3" s="1"/>
  <c r="AE9" i="3" s="1"/>
  <c r="E9" i="3"/>
  <c r="M9" i="3" s="1"/>
  <c r="D9" i="3"/>
  <c r="L9" i="3" s="1"/>
  <c r="C9" i="3"/>
  <c r="K9" i="3" s="1"/>
  <c r="W9" i="3" s="1"/>
  <c r="X9" i="3" s="1"/>
  <c r="B9" i="3"/>
  <c r="J9" i="3" s="1"/>
  <c r="I8" i="3"/>
  <c r="Q8" i="3" s="1"/>
  <c r="AO8" i="3" s="1"/>
  <c r="AP8" i="3" s="1"/>
  <c r="H8" i="3"/>
  <c r="P8" i="3" s="1"/>
  <c r="AM8" i="3" s="1"/>
  <c r="AN8" i="3" s="1"/>
  <c r="G8" i="3"/>
  <c r="O8" i="3" s="1"/>
  <c r="AK8" i="3" s="1"/>
  <c r="AL8" i="3" s="1"/>
  <c r="F8" i="3"/>
  <c r="N8" i="3" s="1"/>
  <c r="AD8" i="3" s="1"/>
  <c r="AE8" i="3" s="1"/>
  <c r="E8" i="3"/>
  <c r="M8" i="3" s="1"/>
  <c r="D8" i="3"/>
  <c r="L8" i="3" s="1"/>
  <c r="C8" i="3"/>
  <c r="K8" i="3" s="1"/>
  <c r="W8" i="3" s="1"/>
  <c r="X8" i="3" s="1"/>
  <c r="B8" i="3"/>
  <c r="J8" i="3" s="1"/>
  <c r="I7" i="3"/>
  <c r="Q7" i="3" s="1"/>
  <c r="AO7" i="3" s="1"/>
  <c r="AP7" i="3" s="1"/>
  <c r="H7" i="3"/>
  <c r="P7" i="3" s="1"/>
  <c r="AM7" i="3" s="1"/>
  <c r="AN7" i="3" s="1"/>
  <c r="G7" i="3"/>
  <c r="O7" i="3" s="1"/>
  <c r="AK7" i="3" s="1"/>
  <c r="AL7" i="3" s="1"/>
  <c r="F7" i="3"/>
  <c r="N7" i="3" s="1"/>
  <c r="AD7" i="3" s="1"/>
  <c r="AE7" i="3" s="1"/>
  <c r="E7" i="3"/>
  <c r="M7" i="3" s="1"/>
  <c r="D7" i="3"/>
  <c r="L7" i="3" s="1"/>
  <c r="C7" i="3"/>
  <c r="K7" i="3" s="1"/>
  <c r="W7" i="3" s="1"/>
  <c r="X7" i="3" s="1"/>
  <c r="B7" i="3"/>
  <c r="J7" i="3" s="1"/>
  <c r="I6" i="3"/>
  <c r="Q6" i="3" s="1"/>
  <c r="AO6" i="3" s="1"/>
  <c r="AP6" i="3" s="1"/>
  <c r="H6" i="3"/>
  <c r="P6" i="3" s="1"/>
  <c r="AM6" i="3" s="1"/>
  <c r="AN6" i="3" s="1"/>
  <c r="G6" i="3"/>
  <c r="O6" i="3" s="1"/>
  <c r="AK6" i="3" s="1"/>
  <c r="AL6" i="3" s="1"/>
  <c r="F6" i="3"/>
  <c r="N6" i="3" s="1"/>
  <c r="AD6" i="3" s="1"/>
  <c r="AE6" i="3" s="1"/>
  <c r="E6" i="3"/>
  <c r="M6" i="3" s="1"/>
  <c r="D6" i="3"/>
  <c r="L6" i="3" s="1"/>
  <c r="C6" i="3"/>
  <c r="K6" i="3" s="1"/>
  <c r="W6" i="3" s="1"/>
  <c r="X6" i="3" s="1"/>
  <c r="B6" i="3"/>
  <c r="J6" i="3" s="1"/>
  <c r="I5" i="3"/>
  <c r="Q5" i="3" s="1"/>
  <c r="AO5" i="3" s="1"/>
  <c r="AP5" i="3" s="1"/>
  <c r="H5" i="3"/>
  <c r="P5" i="3" s="1"/>
  <c r="AM5" i="3" s="1"/>
  <c r="AN5" i="3" s="1"/>
  <c r="G5" i="3"/>
  <c r="O5" i="3" s="1"/>
  <c r="AK5" i="3" s="1"/>
  <c r="AL5" i="3" s="1"/>
  <c r="F5" i="3"/>
  <c r="N5" i="3" s="1"/>
  <c r="AD5" i="3" s="1"/>
  <c r="AE5" i="3" s="1"/>
  <c r="E5" i="3"/>
  <c r="M5" i="3" s="1"/>
  <c r="D5" i="3"/>
  <c r="L5" i="3" s="1"/>
  <c r="C5" i="3"/>
  <c r="K5" i="3" s="1"/>
  <c r="W5" i="3" s="1"/>
  <c r="X5" i="3" s="1"/>
  <c r="B5" i="3"/>
  <c r="J5" i="3" s="1"/>
  <c r="I4" i="3"/>
  <c r="Q4" i="3" s="1"/>
  <c r="AO4" i="3" s="1"/>
  <c r="AP4" i="3" s="1"/>
  <c r="H4" i="3"/>
  <c r="P4" i="3" s="1"/>
  <c r="AM4" i="3" s="1"/>
  <c r="AN4" i="3" s="1"/>
  <c r="G4" i="3"/>
  <c r="O4" i="3" s="1"/>
  <c r="AK4" i="3" s="1"/>
  <c r="AL4" i="3" s="1"/>
  <c r="F4" i="3"/>
  <c r="N4" i="3" s="1"/>
  <c r="AD4" i="3" s="1"/>
  <c r="AE4" i="3" s="1"/>
  <c r="E4" i="3"/>
  <c r="M4" i="3" s="1"/>
  <c r="D4" i="3"/>
  <c r="L4" i="3" s="1"/>
  <c r="C4" i="3"/>
  <c r="K4" i="3" s="1"/>
  <c r="W4" i="3" s="1"/>
  <c r="X4" i="3" s="1"/>
  <c r="B4" i="3"/>
  <c r="J4" i="3" s="1"/>
  <c r="I3" i="3"/>
  <c r="Q3" i="3" s="1"/>
  <c r="AO3" i="3" s="1"/>
  <c r="AP3" i="3" s="1"/>
  <c r="H3" i="3"/>
  <c r="P3" i="3" s="1"/>
  <c r="AM3" i="3" s="1"/>
  <c r="AN3" i="3" s="1"/>
  <c r="G3" i="3"/>
  <c r="O3" i="3" s="1"/>
  <c r="AK3" i="3" s="1"/>
  <c r="AL3" i="3" s="1"/>
  <c r="F3" i="3"/>
  <c r="N3" i="3" s="1"/>
  <c r="AD3" i="3" s="1"/>
  <c r="AE3" i="3" s="1"/>
  <c r="E3" i="3"/>
  <c r="M3" i="3" s="1"/>
  <c r="D3" i="3"/>
  <c r="L3" i="3" s="1"/>
  <c r="C3" i="3"/>
  <c r="K3" i="3" s="1"/>
  <c r="W3" i="3" s="1"/>
  <c r="X3" i="3" s="1"/>
  <c r="B3" i="3"/>
  <c r="J3" i="3" s="1"/>
  <c r="I2" i="3"/>
  <c r="Q2" i="3" s="1"/>
  <c r="AO2" i="3" s="1"/>
  <c r="AP2" i="3" s="1"/>
  <c r="H2" i="3"/>
  <c r="P2" i="3" s="1"/>
  <c r="AM2" i="3" s="1"/>
  <c r="AN2" i="3" s="1"/>
  <c r="G2" i="3"/>
  <c r="O2" i="3" s="1"/>
  <c r="AK2" i="3" s="1"/>
  <c r="AL2" i="3" s="1"/>
  <c r="F2" i="3"/>
  <c r="N2" i="3" s="1"/>
  <c r="AD2" i="3" s="1"/>
  <c r="AE2" i="3" s="1"/>
  <c r="E2" i="3"/>
  <c r="M2" i="3" s="1"/>
  <c r="D2" i="3"/>
  <c r="L2" i="3" s="1"/>
  <c r="C2" i="3"/>
  <c r="K2" i="3" s="1"/>
  <c r="W2" i="3" s="1"/>
  <c r="X2" i="3" s="1"/>
  <c r="B2" i="3"/>
  <c r="J2" i="3" s="1"/>
  <c r="AI19" i="2"/>
  <c r="AI9" i="2"/>
  <c r="AI6" i="2"/>
  <c r="AO89" i="8" l="1"/>
  <c r="AO17" i="6"/>
  <c r="AO53" i="8"/>
  <c r="AO101" i="8"/>
  <c r="AO65" i="8"/>
  <c r="AO41" i="8"/>
  <c r="AO17" i="8"/>
  <c r="AO29" i="8"/>
  <c r="AO89" i="6"/>
  <c r="AO5" i="8"/>
  <c r="AO101" i="6"/>
  <c r="AO77" i="8"/>
  <c r="AO65" i="6"/>
  <c r="AO77" i="6"/>
  <c r="AO41" i="6"/>
  <c r="AO29" i="6"/>
  <c r="AO53" i="6"/>
  <c r="AO5" i="6"/>
  <c r="AO17" i="1"/>
  <c r="AW17" i="1" s="1"/>
  <c r="AO29" i="1"/>
  <c r="AW29" i="1" s="1"/>
  <c r="AO41" i="1"/>
  <c r="AW41" i="1" s="1"/>
  <c r="AO53" i="1"/>
  <c r="AW53" i="1" s="1"/>
  <c r="AO65" i="1"/>
  <c r="AW65" i="1" s="1"/>
  <c r="AO77" i="1"/>
  <c r="AW77" i="1" s="1"/>
  <c r="AO89" i="1"/>
  <c r="AW89" i="1" s="1"/>
  <c r="AO101" i="1"/>
  <c r="AW101" i="1" s="1"/>
  <c r="AO5" i="1"/>
  <c r="AW5" i="1" s="1"/>
  <c r="AH2" i="3"/>
  <c r="U2" i="3"/>
  <c r="V2" i="3" s="1"/>
  <c r="Y2" i="3" s="1"/>
  <c r="R2" i="3"/>
  <c r="AI2" i="3"/>
  <c r="Z2" i="3"/>
  <c r="AA2" i="3" s="1"/>
  <c r="AF2" i="3" s="1"/>
  <c r="S2" i="3"/>
  <c r="AJ2" i="3"/>
  <c r="AB2" i="3"/>
  <c r="AC2" i="3" s="1"/>
  <c r="AG2" i="3" s="1"/>
  <c r="T2" i="3"/>
  <c r="AH3" i="3"/>
  <c r="U3" i="3"/>
  <c r="V3" i="3" s="1"/>
  <c r="Y3" i="3" s="1"/>
  <c r="R3" i="3"/>
  <c r="AI3" i="3"/>
  <c r="Z3" i="3"/>
  <c r="AA3" i="3" s="1"/>
  <c r="AF3" i="3" s="1"/>
  <c r="S3" i="3"/>
  <c r="AJ3" i="3"/>
  <c r="AB3" i="3"/>
  <c r="AC3" i="3" s="1"/>
  <c r="AG3" i="3" s="1"/>
  <c r="T3" i="3"/>
  <c r="AH4" i="3"/>
  <c r="U4" i="3"/>
  <c r="V4" i="3" s="1"/>
  <c r="Y4" i="3" s="1"/>
  <c r="R4" i="3"/>
  <c r="AI4" i="3"/>
  <c r="Z4" i="3"/>
  <c r="AA4" i="3" s="1"/>
  <c r="AF4" i="3" s="1"/>
  <c r="S4" i="3"/>
  <c r="AJ4" i="3"/>
  <c r="AB4" i="3"/>
  <c r="AC4" i="3" s="1"/>
  <c r="AG4" i="3" s="1"/>
  <c r="T4" i="3"/>
  <c r="AH5" i="3"/>
  <c r="U5" i="3"/>
  <c r="V5" i="3" s="1"/>
  <c r="Y5" i="3" s="1"/>
  <c r="R5" i="3"/>
  <c r="AI5" i="3"/>
  <c r="Z5" i="3"/>
  <c r="AA5" i="3" s="1"/>
  <c r="AF5" i="3" s="1"/>
  <c r="S5" i="3"/>
  <c r="AJ5" i="3"/>
  <c r="AB5" i="3"/>
  <c r="AC5" i="3" s="1"/>
  <c r="AG5" i="3" s="1"/>
  <c r="T5" i="3"/>
  <c r="AH6" i="3"/>
  <c r="U6" i="3"/>
  <c r="V6" i="3" s="1"/>
  <c r="Y6" i="3" s="1"/>
  <c r="R6" i="3"/>
  <c r="AI6" i="3"/>
  <c r="Z6" i="3"/>
  <c r="AA6" i="3" s="1"/>
  <c r="AF6" i="3" s="1"/>
  <c r="S6" i="3"/>
  <c r="AJ6" i="3"/>
  <c r="AB6" i="3"/>
  <c r="AC6" i="3" s="1"/>
  <c r="AG6" i="3" s="1"/>
  <c r="T6" i="3"/>
  <c r="AH7" i="3"/>
  <c r="U7" i="3"/>
  <c r="V7" i="3" s="1"/>
  <c r="Y7" i="3" s="1"/>
  <c r="R7" i="3"/>
  <c r="AI7" i="3"/>
  <c r="Z7" i="3"/>
  <c r="AA7" i="3" s="1"/>
  <c r="AF7" i="3" s="1"/>
  <c r="S7" i="3"/>
  <c r="AJ7" i="3"/>
  <c r="AB7" i="3"/>
  <c r="AC7" i="3" s="1"/>
  <c r="AG7" i="3" s="1"/>
  <c r="T7" i="3"/>
  <c r="AH8" i="3"/>
  <c r="U8" i="3"/>
  <c r="V8" i="3" s="1"/>
  <c r="Y8" i="3" s="1"/>
  <c r="R8" i="3"/>
  <c r="AI8" i="3"/>
  <c r="Z8" i="3"/>
  <c r="AA8" i="3" s="1"/>
  <c r="AF8" i="3" s="1"/>
  <c r="S8" i="3"/>
  <c r="AJ8" i="3"/>
  <c r="AB8" i="3"/>
  <c r="AC8" i="3" s="1"/>
  <c r="AG8" i="3" s="1"/>
  <c r="T8" i="3"/>
  <c r="AH9" i="3"/>
  <c r="U9" i="3"/>
  <c r="V9" i="3" s="1"/>
  <c r="Y9" i="3" s="1"/>
  <c r="R9" i="3"/>
  <c r="AI9" i="3"/>
  <c r="Z9" i="3"/>
  <c r="AA9" i="3" s="1"/>
  <c r="AF9" i="3" s="1"/>
  <c r="S9" i="3"/>
  <c r="AJ9" i="3"/>
  <c r="AB9" i="3"/>
  <c r="AC9" i="3" s="1"/>
  <c r="AG9" i="3" s="1"/>
  <c r="T9" i="3"/>
  <c r="AH10" i="3"/>
  <c r="U10" i="3"/>
  <c r="V10" i="3" s="1"/>
  <c r="Y10" i="3" s="1"/>
  <c r="R10" i="3"/>
  <c r="AI10" i="3"/>
  <c r="Z10" i="3"/>
  <c r="AA10" i="3" s="1"/>
  <c r="AF10" i="3" s="1"/>
  <c r="S10" i="3"/>
  <c r="AJ10" i="3"/>
  <c r="AB10" i="3"/>
  <c r="AC10" i="3" s="1"/>
  <c r="AG10" i="3" s="1"/>
  <c r="T10" i="3"/>
  <c r="AH11" i="3"/>
  <c r="U11" i="3"/>
  <c r="V11" i="3" s="1"/>
  <c r="Y11" i="3" s="1"/>
  <c r="R11" i="3"/>
  <c r="AI11" i="3"/>
  <c r="Z11" i="3"/>
  <c r="AA11" i="3" s="1"/>
  <c r="AF11" i="3" s="1"/>
  <c r="S11" i="3"/>
  <c r="AJ11" i="3"/>
  <c r="AB11" i="3"/>
  <c r="AC11" i="3" s="1"/>
  <c r="AG11" i="3" s="1"/>
  <c r="T11" i="3"/>
  <c r="AH12" i="3"/>
  <c r="U12" i="3"/>
  <c r="V12" i="3" s="1"/>
  <c r="Y12" i="3" s="1"/>
  <c r="R12" i="3"/>
  <c r="AI12" i="3"/>
  <c r="Z12" i="3"/>
  <c r="AA12" i="3" s="1"/>
  <c r="AF12" i="3" s="1"/>
  <c r="S12" i="3"/>
  <c r="AJ12" i="3"/>
  <c r="AB12" i="3"/>
  <c r="AC12" i="3" s="1"/>
  <c r="AG12" i="3" s="1"/>
  <c r="T12" i="3"/>
  <c r="AH13" i="3"/>
  <c r="U13" i="3"/>
  <c r="V13" i="3" s="1"/>
  <c r="Y13" i="3" s="1"/>
  <c r="R13" i="3"/>
  <c r="AI13" i="3"/>
  <c r="Z13" i="3"/>
  <c r="AA13" i="3" s="1"/>
  <c r="AF13" i="3" s="1"/>
  <c r="S13" i="3"/>
  <c r="AJ13" i="3"/>
  <c r="AB13" i="3"/>
  <c r="AC13" i="3" s="1"/>
  <c r="AG13" i="3" s="1"/>
  <c r="T13" i="3"/>
  <c r="AH14" i="3"/>
  <c r="U14" i="3"/>
  <c r="V14" i="3" s="1"/>
  <c r="Y14" i="3" s="1"/>
  <c r="R14" i="3"/>
  <c r="AI14" i="3"/>
  <c r="Z14" i="3"/>
  <c r="AA14" i="3" s="1"/>
  <c r="AF14" i="3" s="1"/>
  <c r="S14" i="3"/>
  <c r="AJ14" i="3"/>
  <c r="AB14" i="3"/>
  <c r="AC14" i="3" s="1"/>
  <c r="AG14" i="3" s="1"/>
  <c r="T14" i="3"/>
  <c r="AH15" i="3"/>
  <c r="U15" i="3"/>
  <c r="V15" i="3" s="1"/>
  <c r="Y15" i="3" s="1"/>
  <c r="R15" i="3"/>
  <c r="AI15" i="3"/>
  <c r="Z15" i="3"/>
  <c r="AA15" i="3" s="1"/>
  <c r="AF15" i="3" s="1"/>
  <c r="S15" i="3"/>
  <c r="AJ15" i="3"/>
  <c r="AB15" i="3"/>
  <c r="AC15" i="3" s="1"/>
  <c r="AG15" i="3" s="1"/>
  <c r="T15" i="3"/>
  <c r="AH16" i="3"/>
  <c r="U16" i="3"/>
  <c r="V16" i="3" s="1"/>
  <c r="Y16" i="3" s="1"/>
  <c r="R16" i="3"/>
  <c r="AI16" i="3"/>
  <c r="Z16" i="3"/>
  <c r="AA16" i="3" s="1"/>
  <c r="AF16" i="3" s="1"/>
  <c r="S16" i="3"/>
  <c r="AJ16" i="3"/>
  <c r="AB16" i="3"/>
  <c r="AC16" i="3" s="1"/>
  <c r="AG16" i="3" s="1"/>
  <c r="T16" i="3"/>
  <c r="AH17" i="3"/>
  <c r="U17" i="3"/>
  <c r="V17" i="3" s="1"/>
  <c r="Y17" i="3" s="1"/>
  <c r="R17" i="3"/>
  <c r="AI17" i="3"/>
  <c r="Z17" i="3"/>
  <c r="AA17" i="3" s="1"/>
  <c r="AF17" i="3" s="1"/>
  <c r="S17" i="3"/>
  <c r="AJ17" i="3"/>
  <c r="AB17" i="3"/>
  <c r="AC17" i="3" s="1"/>
  <c r="AG17" i="3" s="1"/>
  <c r="T17" i="3"/>
  <c r="AH18" i="3"/>
  <c r="U18" i="3"/>
  <c r="V18" i="3" s="1"/>
  <c r="Y18" i="3" s="1"/>
  <c r="R18" i="3"/>
  <c r="AI18" i="3"/>
  <c r="Z18" i="3"/>
  <c r="AA18" i="3" s="1"/>
  <c r="AF18" i="3" s="1"/>
  <c r="S18" i="3"/>
  <c r="AJ18" i="3"/>
  <c r="AB18" i="3"/>
  <c r="AC18" i="3" s="1"/>
  <c r="AG18" i="3" s="1"/>
  <c r="T18" i="3"/>
  <c r="AH19" i="3"/>
  <c r="U19" i="3"/>
  <c r="V19" i="3" s="1"/>
  <c r="Y19" i="3" s="1"/>
  <c r="R19" i="3"/>
  <c r="AI19" i="3"/>
  <c r="Z19" i="3"/>
  <c r="AA19" i="3" s="1"/>
  <c r="AF19" i="3" s="1"/>
  <c r="S19" i="3"/>
  <c r="AJ19" i="3"/>
  <c r="AB19" i="3"/>
  <c r="AC19" i="3" s="1"/>
  <c r="AG19" i="3" s="1"/>
  <c r="T19" i="3"/>
  <c r="AH20" i="3"/>
  <c r="U20" i="3"/>
  <c r="V20" i="3" s="1"/>
  <c r="Y20" i="3" s="1"/>
  <c r="R20" i="3"/>
  <c r="AI20" i="3"/>
  <c r="Z20" i="3"/>
  <c r="AA20" i="3" s="1"/>
  <c r="AF20" i="3" s="1"/>
  <c r="S20" i="3"/>
  <c r="AJ20" i="3"/>
  <c r="AB20" i="3"/>
  <c r="AC20" i="3" s="1"/>
  <c r="AG20" i="3" s="1"/>
  <c r="T20" i="3"/>
  <c r="AH21" i="3"/>
  <c r="U21" i="3"/>
  <c r="V21" i="3" s="1"/>
  <c r="Y21" i="3" s="1"/>
  <c r="R21" i="3"/>
  <c r="AI21" i="3"/>
  <c r="Z21" i="3"/>
  <c r="AA21" i="3" s="1"/>
  <c r="AF21" i="3" s="1"/>
  <c r="S21" i="3"/>
  <c r="AJ21" i="3"/>
  <c r="AB21" i="3"/>
  <c r="AC21" i="3" s="1"/>
  <c r="AG21" i="3" s="1"/>
  <c r="T21" i="3"/>
  <c r="AH22" i="3"/>
  <c r="U22" i="3"/>
  <c r="V22" i="3" s="1"/>
  <c r="Y22" i="3" s="1"/>
  <c r="R22" i="3"/>
  <c r="AI22" i="3"/>
  <c r="Z22" i="3"/>
  <c r="AA22" i="3" s="1"/>
  <c r="AF22" i="3" s="1"/>
  <c r="S22" i="3"/>
  <c r="AJ22" i="3"/>
  <c r="AB22" i="3"/>
  <c r="AC22" i="3" s="1"/>
  <c r="AG22" i="3" s="1"/>
  <c r="T22" i="3"/>
  <c r="AH23" i="3"/>
  <c r="U23" i="3"/>
  <c r="V23" i="3" s="1"/>
  <c r="Y23" i="3" s="1"/>
  <c r="R23" i="3"/>
  <c r="AI23" i="3"/>
  <c r="Z23" i="3"/>
  <c r="AA23" i="3" s="1"/>
  <c r="AF23" i="3" s="1"/>
  <c r="S23" i="3"/>
  <c r="AJ23" i="3"/>
  <c r="AB23" i="3"/>
  <c r="AC23" i="3" s="1"/>
  <c r="AG23" i="3" s="1"/>
  <c r="T23" i="3"/>
  <c r="AH24" i="3"/>
  <c r="U24" i="3"/>
  <c r="V24" i="3" s="1"/>
  <c r="Y24" i="3" s="1"/>
  <c r="R24" i="3"/>
  <c r="AI24" i="3"/>
  <c r="Z24" i="3"/>
  <c r="AA24" i="3" s="1"/>
  <c r="AF24" i="3" s="1"/>
  <c r="S24" i="3"/>
  <c r="AJ24" i="3"/>
  <c r="AB24" i="3"/>
  <c r="AC24" i="3" s="1"/>
  <c r="AG24" i="3" s="1"/>
  <c r="T24" i="3"/>
</calcChain>
</file>

<file path=xl/sharedStrings.xml><?xml version="1.0" encoding="utf-8"?>
<sst xmlns="http://schemas.openxmlformats.org/spreadsheetml/2006/main" count="3492" uniqueCount="446">
  <si>
    <t>Overall</t>
  </si>
  <si>
    <t>Prime Code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</si>
  <si>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</si>
  <si>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</si>
  <si>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</si>
  <si>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</si>
  <si>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</si>
  <si>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</si>
  <si>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</si>
  <si>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</si>
  <si>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</si>
  <si>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</si>
  <si>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</si>
  <si>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</si>
  <si>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</si>
  <si>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</si>
  <si>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</si>
  <si>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</si>
  <si>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</si>
  <si>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</si>
  <si>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</si>
  <si>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</si>
  <si>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</si>
  <si>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</si>
  <si>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</si>
  <si>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</si>
  <si>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</si>
  <si>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</si>
  <si>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</si>
  <si>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</si>
  <si>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</si>
  <si>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ABCD</t>
  </si>
  <si>
    <t>AABC</t>
  </si>
  <si>
    <t>AABB</t>
  </si>
  <si>
    <t>AAAB</t>
  </si>
  <si>
    <t>AAAA</t>
  </si>
  <si>
    <t>Mc Results</t>
  </si>
  <si>
    <t>R1</t>
  </si>
  <si>
    <t>O123</t>
  </si>
  <si>
    <t>O112</t>
  </si>
  <si>
    <t>OO11</t>
  </si>
  <si>
    <t>O111</t>
  </si>
  <si>
    <t>OOOO</t>
  </si>
  <si>
    <t>410/26</t>
  </si>
  <si>
    <t>411/26</t>
  </si>
  <si>
    <t>412/26</t>
  </si>
  <si>
    <t>413/26</t>
  </si>
  <si>
    <t>414/26 Prediction - Overall</t>
  </si>
  <si>
    <t>R2</t>
  </si>
  <si>
    <t>O124</t>
  </si>
  <si>
    <t>O113</t>
  </si>
  <si>
    <t>OO22</t>
  </si>
  <si>
    <t>O222</t>
  </si>
  <si>
    <t>Tier 1</t>
  </si>
  <si>
    <t>R3</t>
  </si>
  <si>
    <t>O125</t>
  </si>
  <si>
    <t>O114</t>
  </si>
  <si>
    <t>OO33</t>
  </si>
  <si>
    <t>O333</t>
  </si>
  <si>
    <t>R4</t>
  </si>
  <si>
    <t>O126</t>
  </si>
  <si>
    <t>O115</t>
  </si>
  <si>
    <t>OO44</t>
  </si>
  <si>
    <t>O444</t>
  </si>
  <si>
    <t>O367</t>
  </si>
  <si>
    <t>R5</t>
  </si>
  <si>
    <t>O127</t>
  </si>
  <si>
    <t>O116</t>
  </si>
  <si>
    <t>OO55</t>
  </si>
  <si>
    <t>O555</t>
  </si>
  <si>
    <t>Tier 2</t>
  </si>
  <si>
    <t>O459</t>
  </si>
  <si>
    <t>R6</t>
  </si>
  <si>
    <t>O128</t>
  </si>
  <si>
    <t>O117</t>
  </si>
  <si>
    <t>OO66</t>
  </si>
  <si>
    <t>O666</t>
  </si>
  <si>
    <t>R7</t>
  </si>
  <si>
    <t>O129</t>
  </si>
  <si>
    <t>O118</t>
  </si>
  <si>
    <t>OO77</t>
  </si>
  <si>
    <t>O777</t>
  </si>
  <si>
    <t>R8</t>
  </si>
  <si>
    <t>O134</t>
  </si>
  <si>
    <t>O119</t>
  </si>
  <si>
    <t>OO88</t>
  </si>
  <si>
    <t>O888</t>
  </si>
  <si>
    <t>R9</t>
  </si>
  <si>
    <t>O135</t>
  </si>
  <si>
    <t>O122</t>
  </si>
  <si>
    <t>OO99</t>
  </si>
  <si>
    <t>O999</t>
  </si>
  <si>
    <t>R10</t>
  </si>
  <si>
    <t>O136</t>
  </si>
  <si>
    <t>O133</t>
  </si>
  <si>
    <t>OOO1</t>
  </si>
  <si>
    <t>O268</t>
  </si>
  <si>
    <t>OO25</t>
  </si>
  <si>
    <t>R11</t>
  </si>
  <si>
    <t>O137</t>
  </si>
  <si>
    <t>O144</t>
  </si>
  <si>
    <t>OOO2</t>
  </si>
  <si>
    <t>O445</t>
  </si>
  <si>
    <t>O249</t>
  </si>
  <si>
    <t>R12</t>
  </si>
  <si>
    <t>O138</t>
  </si>
  <si>
    <t>O155</t>
  </si>
  <si>
    <t>OOO3</t>
  </si>
  <si>
    <t>O166</t>
  </si>
  <si>
    <t>O449</t>
  </si>
  <si>
    <t>R13</t>
  </si>
  <si>
    <t>O139</t>
  </si>
  <si>
    <t>OOO4</t>
  </si>
  <si>
    <t>O477</t>
  </si>
  <si>
    <t>R14</t>
  </si>
  <si>
    <t>O145</t>
  </si>
  <si>
    <t>O177</t>
  </si>
  <si>
    <t>OOO5</t>
  </si>
  <si>
    <t>R15</t>
  </si>
  <si>
    <t>O146</t>
  </si>
  <si>
    <t>O188</t>
  </si>
  <si>
    <t>OOO6</t>
  </si>
  <si>
    <t>Tier 3</t>
  </si>
  <si>
    <t>R16</t>
  </si>
  <si>
    <t>O147</t>
  </si>
  <si>
    <t>O199</t>
  </si>
  <si>
    <t>OOO7</t>
  </si>
  <si>
    <t>R17</t>
  </si>
  <si>
    <t>O148</t>
  </si>
  <si>
    <t>O223</t>
  </si>
  <si>
    <t>OOO8</t>
  </si>
  <si>
    <t>R18</t>
  </si>
  <si>
    <t>O149</t>
  </si>
  <si>
    <t>O224</t>
  </si>
  <si>
    <t>OOO9</t>
  </si>
  <si>
    <t>O579</t>
  </si>
  <si>
    <t>R19</t>
  </si>
  <si>
    <t>O156</t>
  </si>
  <si>
    <t>O225</t>
  </si>
  <si>
    <t>O227</t>
  </si>
  <si>
    <t>R20</t>
  </si>
  <si>
    <t>O157</t>
  </si>
  <si>
    <t>O226</t>
  </si>
  <si>
    <t>O245</t>
  </si>
  <si>
    <t>R21</t>
  </si>
  <si>
    <t>O158</t>
  </si>
  <si>
    <t>R22</t>
  </si>
  <si>
    <t>O159</t>
  </si>
  <si>
    <t>O228</t>
  </si>
  <si>
    <t>O779</t>
  </si>
  <si>
    <t>R23</t>
  </si>
  <si>
    <t>O167</t>
  </si>
  <si>
    <t>O229</t>
  </si>
  <si>
    <t>O179</t>
  </si>
  <si>
    <t>R24</t>
  </si>
  <si>
    <t>O168</t>
  </si>
  <si>
    <t>O233</t>
  </si>
  <si>
    <t>R25</t>
  </si>
  <si>
    <t>O169</t>
  </si>
  <si>
    <t>O244</t>
  </si>
  <si>
    <t>0/23</t>
  </si>
  <si>
    <t>R26</t>
  </si>
  <si>
    <t>O178</t>
  </si>
  <si>
    <t>O255</t>
  </si>
  <si>
    <t>R27</t>
  </si>
  <si>
    <t>O266</t>
  </si>
  <si>
    <t>[4 DIGIT IS NOT SAME]</t>
  </si>
  <si>
    <t>R28</t>
  </si>
  <si>
    <t>O189</t>
  </si>
  <si>
    <t>O277</t>
  </si>
  <si>
    <t>[2 DIGIT WILL BE SAME WITHIN 4 DIGIT]</t>
  </si>
  <si>
    <t>R29</t>
  </si>
  <si>
    <t>O234</t>
  </si>
  <si>
    <t>O288</t>
  </si>
  <si>
    <t>[PAIR 2 DIGIT WILL BE SAME WITHIN 4 DIGIT]</t>
  </si>
  <si>
    <t>R30</t>
  </si>
  <si>
    <t>O235</t>
  </si>
  <si>
    <t>O299</t>
  </si>
  <si>
    <t>[3 DIGIT WILL BE SAME WITHIN 4 DIGIT]</t>
  </si>
  <si>
    <t>R31</t>
  </si>
  <si>
    <t>O236</t>
  </si>
  <si>
    <t>O334</t>
  </si>
  <si>
    <t>[ALL DIGIT IS THE SAME AS 4 DIGIT]</t>
  </si>
  <si>
    <t>R32</t>
  </si>
  <si>
    <t>O237</t>
  </si>
  <si>
    <t>O335</t>
  </si>
  <si>
    <t>R33</t>
  </si>
  <si>
    <t>O238</t>
  </si>
  <si>
    <t>O336</t>
  </si>
  <si>
    <t>R34</t>
  </si>
  <si>
    <t>O239</t>
  </si>
  <si>
    <t>O337</t>
  </si>
  <si>
    <t>R35</t>
  </si>
  <si>
    <t>O338</t>
  </si>
  <si>
    <t>R36</t>
  </si>
  <si>
    <t>O246</t>
  </si>
  <si>
    <t>O339</t>
  </si>
  <si>
    <t>R37</t>
  </si>
  <si>
    <t>O247</t>
  </si>
  <si>
    <t>O344</t>
  </si>
  <si>
    <t>R38</t>
  </si>
  <si>
    <t>O248</t>
  </si>
  <si>
    <t>O355</t>
  </si>
  <si>
    <t>R39</t>
  </si>
  <si>
    <t>O366</t>
  </si>
  <si>
    <t>R40</t>
  </si>
  <si>
    <t>O256</t>
  </si>
  <si>
    <t>O377</t>
  </si>
  <si>
    <t>R41</t>
  </si>
  <si>
    <t>O257</t>
  </si>
  <si>
    <t>O388</t>
  </si>
  <si>
    <t>R42</t>
  </si>
  <si>
    <t>O258</t>
  </si>
  <si>
    <t>O399</t>
  </si>
  <si>
    <t>R43</t>
  </si>
  <si>
    <t>O259</t>
  </si>
  <si>
    <t>R44</t>
  </si>
  <si>
    <t>O267</t>
  </si>
  <si>
    <t>O446</t>
  </si>
  <si>
    <t>R45</t>
  </si>
  <si>
    <t>O447</t>
  </si>
  <si>
    <t>R46</t>
  </si>
  <si>
    <t>O269</t>
  </si>
  <si>
    <t>O448</t>
  </si>
  <si>
    <t>R47</t>
  </si>
  <si>
    <t>O278</t>
  </si>
  <si>
    <t>R48</t>
  </si>
  <si>
    <t>O279</t>
  </si>
  <si>
    <t>O455</t>
  </si>
  <si>
    <t>R49</t>
  </si>
  <si>
    <t>O289</t>
  </si>
  <si>
    <t>O466</t>
  </si>
  <si>
    <t>R50</t>
  </si>
  <si>
    <t>O345</t>
  </si>
  <si>
    <t>R51</t>
  </si>
  <si>
    <t>O346</t>
  </si>
  <si>
    <t>O488</t>
  </si>
  <si>
    <t>R52</t>
  </si>
  <si>
    <t>O347</t>
  </si>
  <si>
    <t>O499</t>
  </si>
  <si>
    <t>R53</t>
  </si>
  <si>
    <t>O348</t>
  </si>
  <si>
    <t>O556</t>
  </si>
  <si>
    <t>R54</t>
  </si>
  <si>
    <t>O349</t>
  </si>
  <si>
    <t>O557</t>
  </si>
  <si>
    <t>R55</t>
  </si>
  <si>
    <t>O356</t>
  </si>
  <si>
    <t>O558</t>
  </si>
  <si>
    <t>R56</t>
  </si>
  <si>
    <t>O357</t>
  </si>
  <si>
    <t>O559</t>
  </si>
  <si>
    <t>R57</t>
  </si>
  <si>
    <t>O358</t>
  </si>
  <si>
    <t>O566</t>
  </si>
  <si>
    <t>R58</t>
  </si>
  <si>
    <t>O359</t>
  </si>
  <si>
    <t>O577</t>
  </si>
  <si>
    <t>R59</t>
  </si>
  <si>
    <t>O588</t>
  </si>
  <si>
    <t>R60</t>
  </si>
  <si>
    <t>O368</t>
  </si>
  <si>
    <t>O599</t>
  </si>
  <si>
    <t>R61</t>
  </si>
  <si>
    <t>O369</t>
  </si>
  <si>
    <t>O667</t>
  </si>
  <si>
    <t>R62</t>
  </si>
  <si>
    <t>O378</t>
  </si>
  <si>
    <t>O668</t>
  </si>
  <si>
    <t>R63</t>
  </si>
  <si>
    <t>O379</t>
  </si>
  <si>
    <t>O669</t>
  </si>
  <si>
    <t>R64</t>
  </si>
  <si>
    <t>O389</t>
  </si>
  <si>
    <t>O677</t>
  </si>
  <si>
    <t>R65</t>
  </si>
  <si>
    <t>O456</t>
  </si>
  <si>
    <t>O688</t>
  </si>
  <si>
    <t>R66</t>
  </si>
  <si>
    <t>O457</t>
  </si>
  <si>
    <t>O699</t>
  </si>
  <si>
    <t>R67</t>
  </si>
  <si>
    <t>O458</t>
  </si>
  <si>
    <t>O778</t>
  </si>
  <si>
    <t>R68</t>
  </si>
  <si>
    <t>R69</t>
  </si>
  <si>
    <t>O467</t>
  </si>
  <si>
    <t>O788</t>
  </si>
  <si>
    <t>R70</t>
  </si>
  <si>
    <t>O468</t>
  </si>
  <si>
    <t>O799</t>
  </si>
  <si>
    <t>R71</t>
  </si>
  <si>
    <t>O469</t>
  </si>
  <si>
    <t>O889</t>
  </si>
  <si>
    <t>R72</t>
  </si>
  <si>
    <t>O478</t>
  </si>
  <si>
    <t>O899</t>
  </si>
  <si>
    <t>R73</t>
  </si>
  <si>
    <t>O479</t>
  </si>
  <si>
    <t>OO12</t>
  </si>
  <si>
    <t>R74</t>
  </si>
  <si>
    <t>O489</t>
  </si>
  <si>
    <t>OO13</t>
  </si>
  <si>
    <t>R75</t>
  </si>
  <si>
    <t>O567</t>
  </si>
  <si>
    <t>OO14</t>
  </si>
  <si>
    <t>R76</t>
  </si>
  <si>
    <t>O568</t>
  </si>
  <si>
    <t>OO15</t>
  </si>
  <si>
    <t>R77</t>
  </si>
  <si>
    <t>O569</t>
  </si>
  <si>
    <t>OO16</t>
  </si>
  <si>
    <t>R78</t>
  </si>
  <si>
    <t>O578</t>
  </si>
  <si>
    <t>OO17</t>
  </si>
  <si>
    <t>R79</t>
  </si>
  <si>
    <t>OO18</t>
  </si>
  <si>
    <t>R80</t>
  </si>
  <si>
    <t>O589</t>
  </si>
  <si>
    <t>OO19</t>
  </si>
  <si>
    <t>R81</t>
  </si>
  <si>
    <t>O678</t>
  </si>
  <si>
    <t>OO23</t>
  </si>
  <si>
    <t>R82</t>
  </si>
  <si>
    <t>O679</t>
  </si>
  <si>
    <t>OO24</t>
  </si>
  <si>
    <t>R83</t>
  </si>
  <si>
    <t>O689</t>
  </si>
  <si>
    <t>R84</t>
  </si>
  <si>
    <t>O789</t>
  </si>
  <si>
    <t>OO26</t>
  </si>
  <si>
    <t>R85</t>
  </si>
  <si>
    <t>OO27</t>
  </si>
  <si>
    <t>R86</t>
  </si>
  <si>
    <t>OO28</t>
  </si>
  <si>
    <t>R87</t>
  </si>
  <si>
    <t>OO29</t>
  </si>
  <si>
    <t>R88</t>
  </si>
  <si>
    <t>OO34</t>
  </si>
  <si>
    <t>R89</t>
  </si>
  <si>
    <t>OO35</t>
  </si>
  <si>
    <t>R90</t>
  </si>
  <si>
    <t>OO36</t>
  </si>
  <si>
    <t>R91</t>
  </si>
  <si>
    <t>OO37</t>
  </si>
  <si>
    <t>R92</t>
  </si>
  <si>
    <t>OO38</t>
  </si>
  <si>
    <t>R93</t>
  </si>
  <si>
    <t>OO39</t>
  </si>
  <si>
    <t>R94</t>
  </si>
  <si>
    <t>OO45</t>
  </si>
  <si>
    <t>R95</t>
  </si>
  <si>
    <t>OO46</t>
  </si>
  <si>
    <t>R96</t>
  </si>
  <si>
    <t>OO47</t>
  </si>
  <si>
    <t>R97</t>
  </si>
  <si>
    <t>OO48</t>
  </si>
  <si>
    <t>R98</t>
  </si>
  <si>
    <t>OO49</t>
  </si>
  <si>
    <t>R99</t>
  </si>
  <si>
    <t>OO56</t>
  </si>
  <si>
    <t>R100</t>
  </si>
  <si>
    <t>OO57</t>
  </si>
  <si>
    <t>R101</t>
  </si>
  <si>
    <t>OO58</t>
  </si>
  <si>
    <t>R102</t>
  </si>
  <si>
    <t>OO59</t>
  </si>
  <si>
    <t>R103</t>
  </si>
  <si>
    <t>OO67</t>
  </si>
  <si>
    <t>R104</t>
  </si>
  <si>
    <t>OO68</t>
  </si>
  <si>
    <t>R105</t>
  </si>
  <si>
    <t>OO69</t>
  </si>
  <si>
    <t>R106</t>
  </si>
  <si>
    <t>OO78</t>
  </si>
  <si>
    <t>R107</t>
  </si>
  <si>
    <t>OO79</t>
  </si>
  <si>
    <t>R108</t>
  </si>
  <si>
    <t>OO89</t>
  </si>
  <si>
    <t>Mapping Table - Zero Replace with "O"</t>
  </si>
  <si>
    <t>Co-Pilot Prediction 
413/26</t>
  </si>
  <si>
    <t>Actual
413/26</t>
  </si>
  <si>
    <t>Prediction</t>
  </si>
  <si>
    <t>i</t>
  </si>
  <si>
    <t>Pred413</t>
  </si>
  <si>
    <t>Act413</t>
  </si>
  <si>
    <t>Pred414_CP</t>
  </si>
  <si>
    <t>Pred414_DS</t>
  </si>
  <si>
    <t>Act414</t>
  </si>
  <si>
    <t>Hist410</t>
  </si>
  <si>
    <t>Hist411</t>
  </si>
  <si>
    <t>Hist412</t>
  </si>
  <si>
    <t>Norm_Pred413</t>
  </si>
  <si>
    <t>Norm_Act413</t>
  </si>
  <si>
    <t>Norm_Pred414CP</t>
  </si>
  <si>
    <t>Norm_Pred414DS</t>
  </si>
  <si>
    <t>Norm_Act414</t>
  </si>
  <si>
    <t>Norm_Hist410</t>
  </si>
  <si>
    <t>Norm_Hist411</t>
  </si>
  <si>
    <t>Norm_Hist412</t>
  </si>
  <si>
    <t>Match413</t>
  </si>
  <si>
    <t>Match414CP</t>
  </si>
  <si>
    <t>Match414DS</t>
  </si>
  <si>
    <t>MC_Pred413</t>
  </si>
  <si>
    <t>Pattern_Pred413</t>
  </si>
  <si>
    <t>MC_Act413</t>
  </si>
  <si>
    <t>Pattern_Act413</t>
  </si>
  <si>
    <t>PatternMatch413</t>
  </si>
  <si>
    <t>MC_Pred414CP</t>
  </si>
  <si>
    <t>Pattern_Pred414CP</t>
  </si>
  <si>
    <t>MC_Pred414DS</t>
  </si>
  <si>
    <t>Pattern_Pred414DS</t>
  </si>
  <si>
    <t>MC_Act414</t>
  </si>
  <si>
    <t>Pattern_Act414</t>
  </si>
  <si>
    <t>PatternMatch414CP</t>
  </si>
  <si>
    <t>PatternMatch414DS</t>
  </si>
  <si>
    <t>Repeat_Pred413</t>
  </si>
  <si>
    <t>Repeat_Pred414CP</t>
  </si>
  <si>
    <t>Repeat_Pred414DS</t>
  </si>
  <si>
    <t>MC_Hist410</t>
  </si>
  <si>
    <t>Pattern_Hist410</t>
  </si>
  <si>
    <t>MC_Hist411</t>
  </si>
  <si>
    <t>Pattern_Hist411</t>
  </si>
  <si>
    <t>MC_Hist412</t>
  </si>
  <si>
    <t>Pattern_Hist412</t>
  </si>
  <si>
    <t>414/26</t>
  </si>
  <si>
    <t>Prediction
414/26</t>
  </si>
  <si>
    <t>Repeatitive</t>
  </si>
  <si>
    <t>St</t>
  </si>
  <si>
    <t>415/26 Prediction - Overall</t>
  </si>
  <si>
    <t>1/23</t>
  </si>
  <si>
    <t>R</t>
  </si>
  <si>
    <t>415/26</t>
  </si>
  <si>
    <t xml:space="preserve">415/26 </t>
  </si>
  <si>
    <t>1ST</t>
  </si>
  <si>
    <t>2nd</t>
  </si>
  <si>
    <t>3rd</t>
  </si>
  <si>
    <t>4th</t>
  </si>
  <si>
    <t>5th</t>
  </si>
  <si>
    <t>6th</t>
  </si>
  <si>
    <t>7th</t>
  </si>
  <si>
    <t>8th</t>
  </si>
  <si>
    <t>9th</t>
  </si>
  <si>
    <t>416/26</t>
  </si>
  <si>
    <t>R/SUM</t>
  </si>
  <si>
    <t>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</si>
</sst>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28" x14ac:knownFonts="1">
    <font>
      <sz val="11"/>
      <color theme="1"/>
      <name val="Aptos Narrow"/>
      <family val="2"/>
      <charset val="1"/>
    </font>
    <font>
      <sz val="8"/>
      <color rgb="FF000000"/>
      <name val="Times New Roman"/>
      <family val="1"/>
      <charset val="1"/>
    </font>
    <font>
      <b/>
      <sz val="8"/>
      <color rgb="FF000000"/>
      <name val="Times New Roman"/>
      <family val="1"/>
      <charset val="1"/>
    </font>
    <font>
      <b/>
      <sz val="8"/>
      <name val="Times New Roman"/>
      <family val="1"/>
      <charset val="1"/>
    </font>
    <font>
      <sz val="8"/>
      <color rgb="FF000000"/>
      <name val="Tahoma"/>
      <family val="2"/>
      <charset val="1"/>
    </font>
    <font>
      <sz val="8"/>
      <color theme="0"/>
      <name val="Tahoma"/>
      <family val="2"/>
      <charset val="1"/>
    </font>
    <font>
      <sz val="8"/>
      <color theme="1"/>
      <name val="Aptos Narrow"/>
      <family val="2"/>
      <charset val="1"/>
    </font>
    <font>
      <b/>
      <sz val="12"/>
      <color rgb="FF000000"/>
      <name val="Times New Roman"/>
      <family val="1"/>
      <charset val="1"/>
    </font>
    <font>
      <b/>
      <u/>
      <sz val="8"/>
      <color theme="1"/>
      <name val="Aptos Narrow"/>
      <family val="2"/>
    </font>
    <font>
      <b/>
      <sz val="8"/>
      <color rgb="FFFF0000"/>
      <name val="Times New Roman"/>
      <family val="1"/>
    </font>
    <font>
      <b/>
      <sz val="11"/>
      <color theme="1"/>
      <name val="Aptos Narrow"/>
      <family val="2"/>
    </font>
    <font>
      <b/>
      <sz val="12"/>
      <color rgb="FF000000"/>
      <name val="Times New Roman"/>
      <family val="1"/>
    </font>
    <font>
      <b/>
      <sz val="8"/>
      <color theme="1"/>
      <name val="Aptos Narrow"/>
      <family val="2"/>
    </font>
    <font>
      <b/>
      <sz val="8"/>
      <color theme="0"/>
      <name val="Tahoma"/>
      <family val="2"/>
    </font>
    <font>
      <sz val="11"/>
      <color theme="1"/>
      <name val="Aptos Narrow"/>
      <family val="2"/>
      <charset val="1"/>
    </font>
    <font>
      <sz val="11"/>
      <name val="Aptos Narrow"/>
      <family val="2"/>
      <charset val="1"/>
    </font>
    <font>
      <sz val="8"/>
      <name val="Aptos Narrow"/>
      <family val="2"/>
      <charset val="1"/>
    </font>
    <font>
      <sz val="10"/>
      <color rgb="FF000000"/>
      <name val="Times New Roman"/>
      <family val="1"/>
      <charset val="1"/>
    </font>
    <font>
      <sz val="10"/>
      <color theme="1"/>
      <name val="Aptos Narrow"/>
      <family val="2"/>
      <charset val="1"/>
    </font>
    <font>
      <b/>
      <sz val="10"/>
      <color rgb="FF000000"/>
      <name val="Times New Roman"/>
      <family val="1"/>
    </font>
    <font>
      <sz val="10"/>
      <color rgb="FF000000"/>
      <name val="Tahoma"/>
      <family val="2"/>
      <charset val="1"/>
    </font>
    <font>
      <sz val="10"/>
      <color theme="1"/>
      <name val="Segoe UI"/>
      <family val="2"/>
    </font>
    <font>
      <b/>
      <sz val="10"/>
      <color rgb="FFFF0000"/>
      <name val="Times New Roman"/>
      <family val="1"/>
    </font>
    <font>
      <sz val="10"/>
      <color theme="0"/>
      <name val="Tahoma"/>
      <family val="2"/>
      <charset val="1"/>
    </font>
    <font>
      <b/>
      <sz val="10"/>
      <color theme="1"/>
      <name val="Aptos Narrow"/>
      <family val="2"/>
    </font>
    <font>
      <sz val="12"/>
      <color theme="1"/>
      <name val="Aptos Narrow"/>
      <family val="2"/>
      <charset val="1"/>
    </font>
    <font>
      <sz val="11"/>
      <name val="Tahoma"/>
      <family val="2"/>
      <charset val="1"/>
    </font>
    <font>
      <b/>
      <sz val="11"/>
      <name val="Times New Roman"/>
      <family val="1"/>
      <charset val="1"/>
    </font>
  </fonts>
  <fills count="13">
    <fill>
      <patternFill patternType="none"/>
    </fill>
    <fill>
      <patternFill patternType="gray125"/>
    </fill>
    <fill>
      <patternFill patternType="solid">
        <fgColor theme="6" tint="0.39988402966399123"/>
        <bgColor rgb="FF92D050"/>
      </patternFill>
    </fill>
    <fill>
      <patternFill patternType="solid">
        <fgColor rgb="FF00B050"/>
        <bgColor rgb="FF008080"/>
      </patternFill>
    </fill>
    <fill>
      <patternFill patternType="solid">
        <fgColor rgb="FF99FF66"/>
        <bgColor rgb="FF92D050"/>
      </patternFill>
    </fill>
    <fill>
      <patternFill patternType="solid">
        <fgColor rgb="FFFFFF00"/>
        <bgColor rgb="FFFFC000"/>
      </patternFill>
    </fill>
    <fill>
      <patternFill patternType="solid">
        <fgColor theme="5" tint="0.79989013336588644"/>
        <bgColor rgb="FFFCE4D6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rgb="FF008080"/>
      </patternFill>
    </fill>
    <fill>
      <patternFill patternType="solid">
        <fgColor theme="7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</borders>
  <cellStyleXfs count="3">
    <xf numFmtId="0" fontId="0" fillId="0" borderId="0"/>
    <xf numFmtId="44" fontId="14" fillId="0" borderId="0" applyFont="0" applyFill="0" applyBorder="0" applyAlignment="0" applyProtection="0"/>
    <xf numFmtId="9" fontId="14" fillId="0" borderId="0" applyFont="0" applyFill="0" applyBorder="0" applyAlignment="0" applyProtection="0"/>
  </cellStyleXfs>
  <cellXfs count="141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1" fontId="5" fillId="3" borderId="2" xfId="0" applyNumberFormat="1" applyFont="1" applyFill="1" applyBorder="1" applyAlignment="1">
      <alignment horizontal="center" vertical="center" shrinkToFit="1"/>
    </xf>
    <xf numFmtId="0" fontId="1" fillId="0" borderId="2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0" fillId="0" borderId="0" xfId="0" applyAlignment="1">
      <alignment horizontal="left" vertic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1" fillId="0" borderId="2" xfId="0" applyFont="1" applyBorder="1" applyAlignment="1">
      <alignment horizontal="left" vertical="top"/>
    </xf>
    <xf numFmtId="0" fontId="6" fillId="0" borderId="2" xfId="0" applyFont="1" applyBorder="1"/>
    <xf numFmtId="0" fontId="4" fillId="2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wrapText="1"/>
    </xf>
    <xf numFmtId="0" fontId="1" fillId="7" borderId="2" xfId="0" applyFont="1" applyFill="1" applyBorder="1" applyAlignment="1">
      <alignment horizontal="center" vertical="center"/>
    </xf>
    <xf numFmtId="9" fontId="0" fillId="0" borderId="0" xfId="2" applyFont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13" fillId="8" borderId="20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 wrapText="1"/>
    </xf>
    <xf numFmtId="0" fontId="17" fillId="0" borderId="0" xfId="0" applyFont="1" applyAlignment="1">
      <alignment horizontal="left" vertical="top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0" xfId="0" applyFont="1"/>
    <xf numFmtId="0" fontId="18" fillId="0" borderId="0" xfId="0" applyFont="1" applyAlignment="1">
      <alignment horizontal="center"/>
    </xf>
    <xf numFmtId="0" fontId="17" fillId="0" borderId="2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/>
    </xf>
    <xf numFmtId="0" fontId="21" fillId="0" borderId="2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3" fillId="3" borderId="2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left" vertical="center"/>
    </xf>
    <xf numFmtId="1" fontId="23" fillId="3" borderId="2" xfId="0" applyNumberFormat="1" applyFont="1" applyFill="1" applyBorder="1" applyAlignment="1">
      <alignment horizontal="center" vertical="center" shrinkToFit="1"/>
    </xf>
    <xf numFmtId="0" fontId="17" fillId="0" borderId="2" xfId="0" applyFont="1" applyBorder="1" applyAlignment="1">
      <alignment horizontal="left" vertical="top" wrapText="1"/>
    </xf>
    <xf numFmtId="0" fontId="18" fillId="0" borderId="2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wrapText="1"/>
    </xf>
    <xf numFmtId="0" fontId="24" fillId="0" borderId="0" xfId="0" applyFont="1" applyAlignment="1">
      <alignment horizontal="center" vertical="center"/>
    </xf>
    <xf numFmtId="0" fontId="18" fillId="0" borderId="0" xfId="0" applyFont="1" applyAlignment="1">
      <alignment wrapText="1"/>
    </xf>
    <xf numFmtId="0" fontId="17" fillId="0" borderId="2" xfId="0" applyFont="1" applyBorder="1" applyAlignment="1">
      <alignment horizontal="left" vertical="top"/>
    </xf>
    <xf numFmtId="0" fontId="18" fillId="7" borderId="2" xfId="0" applyFont="1" applyFill="1" applyBorder="1" applyAlignment="1">
      <alignment horizontal="center" vertical="center"/>
    </xf>
    <xf numFmtId="0" fontId="17" fillId="7" borderId="2" xfId="0" applyFont="1" applyFill="1" applyBorder="1" applyAlignment="1">
      <alignment horizontal="center" vertical="center"/>
    </xf>
    <xf numFmtId="9" fontId="18" fillId="0" borderId="0" xfId="0" applyNumberFormat="1" applyFont="1" applyAlignment="1">
      <alignment horizontal="center" vertical="center"/>
    </xf>
    <xf numFmtId="9" fontId="18" fillId="0" borderId="0" xfId="2" applyFont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3" borderId="19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5" fillId="12" borderId="9" xfId="0" applyFont="1" applyFill="1" applyBorder="1" applyAlignment="1">
      <alignment horizontal="center" vertical="center"/>
    </xf>
    <xf numFmtId="0" fontId="26" fillId="11" borderId="9" xfId="0" applyFont="1" applyFill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top"/>
    </xf>
    <xf numFmtId="0" fontId="27" fillId="2" borderId="2" xfId="0" applyFont="1" applyFill="1" applyBorder="1" applyAlignment="1">
      <alignment horizontal="center" vertical="top"/>
    </xf>
    <xf numFmtId="0" fontId="4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15" fillId="12" borderId="3" xfId="0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4" fillId="7" borderId="11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7" borderId="16" xfId="0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0" fontId="4" fillId="10" borderId="16" xfId="0" applyFont="1" applyFill="1" applyBorder="1" applyAlignment="1">
      <alignment horizontal="center" vertical="center"/>
    </xf>
    <xf numFmtId="44" fontId="0" fillId="0" borderId="0" xfId="1" applyFont="1"/>
    <xf numFmtId="44" fontId="0" fillId="0" borderId="0" xfId="0" applyNumberFormat="1"/>
    <xf numFmtId="0" fontId="25" fillId="0" borderId="10" xfId="0" applyFont="1" applyBorder="1" applyAlignment="1">
      <alignment horizontal="center" vertical="center"/>
    </xf>
    <xf numFmtId="0" fontId="25" fillId="0" borderId="13" xfId="0" applyFont="1" applyBorder="1" applyAlignment="1">
      <alignment horizontal="center" vertical="center"/>
    </xf>
    <xf numFmtId="0" fontId="25" fillId="0" borderId="15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0" fontId="10" fillId="0" borderId="29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25" fillId="10" borderId="10" xfId="0" applyFont="1" applyFill="1" applyBorder="1" applyAlignment="1">
      <alignment horizontal="center" vertical="center"/>
    </xf>
    <xf numFmtId="0" fontId="25" fillId="10" borderId="13" xfId="0" applyFont="1" applyFill="1" applyBorder="1" applyAlignment="1">
      <alignment horizontal="center" vertical="center"/>
    </xf>
    <xf numFmtId="0" fontId="25" fillId="10" borderId="15" xfId="0" applyFont="1" applyFill="1" applyBorder="1" applyAlignment="1">
      <alignment horizontal="center" vertical="center"/>
    </xf>
    <xf numFmtId="0" fontId="25" fillId="9" borderId="10" xfId="0" applyFont="1" applyFill="1" applyBorder="1" applyAlignment="1">
      <alignment horizontal="center" vertical="center"/>
    </xf>
    <xf numFmtId="0" fontId="25" fillId="9" borderId="13" xfId="0" applyFont="1" applyFill="1" applyBorder="1" applyAlignment="1">
      <alignment horizontal="center" vertical="center"/>
    </xf>
    <xf numFmtId="0" fontId="25" fillId="9" borderId="15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top"/>
    </xf>
    <xf numFmtId="0" fontId="7" fillId="0" borderId="6" xfId="0" applyFont="1" applyBorder="1" applyAlignment="1">
      <alignment horizontal="center" vertical="top"/>
    </xf>
    <xf numFmtId="0" fontId="0" fillId="0" borderId="4" xfId="0" applyBorder="1"/>
    <xf numFmtId="0" fontId="0" fillId="0" borderId="5" xfId="0" applyBorder="1"/>
    <xf numFmtId="0" fontId="1" fillId="0" borderId="1" xfId="0" applyFont="1" applyBorder="1" applyAlignment="1">
      <alignment horizontal="center" vertical="center"/>
    </xf>
    <xf numFmtId="0" fontId="0" fillId="0" borderId="3" xfId="0" applyBorder="1"/>
    <xf numFmtId="0" fontId="0" fillId="0" borderId="1" xfId="0" applyBorder="1"/>
    <xf numFmtId="0" fontId="1" fillId="0" borderId="2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0" fillId="0" borderId="25" xfId="0" applyBorder="1"/>
    <xf numFmtId="0" fontId="0" fillId="0" borderId="26" xfId="0" applyBorder="1"/>
    <xf numFmtId="0" fontId="10" fillId="0" borderId="23" xfId="0" applyFont="1" applyBorder="1" applyAlignment="1">
      <alignment horizontal="center"/>
    </xf>
    <xf numFmtId="0" fontId="0" fillId="0" borderId="24" xfId="0" applyBorder="1"/>
    <xf numFmtId="0" fontId="0" fillId="0" borderId="22" xfId="0" applyBorder="1"/>
    <xf numFmtId="0" fontId="2" fillId="0" borderId="6" xfId="0" applyFont="1" applyBorder="1" applyAlignment="1">
      <alignment horizontal="center" vertical="top"/>
    </xf>
    <xf numFmtId="0" fontId="1" fillId="5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1" fillId="0" borderId="7" xfId="0" applyFont="1" applyBorder="1" applyAlignment="1">
      <alignment horizontal="center" vertical="top"/>
    </xf>
    <xf numFmtId="0" fontId="17" fillId="0" borderId="2" xfId="0" applyFont="1" applyBorder="1" applyAlignment="1">
      <alignment horizontal="center" vertical="center"/>
    </xf>
    <xf numFmtId="0" fontId="18" fillId="0" borderId="3" xfId="0" applyFont="1" applyBorder="1"/>
    <xf numFmtId="0" fontId="18" fillId="0" borderId="1" xfId="0" applyFont="1" applyBorder="1"/>
    <xf numFmtId="0" fontId="19" fillId="0" borderId="18" xfId="0" applyFont="1" applyBorder="1" applyAlignment="1">
      <alignment horizontal="center" vertical="top"/>
    </xf>
    <xf numFmtId="0" fontId="19" fillId="0" borderId="7" xfId="0" applyFont="1" applyBorder="1" applyAlignment="1">
      <alignment horizontal="center" vertical="top"/>
    </xf>
    <xf numFmtId="0" fontId="10" fillId="0" borderId="6" xfId="0" applyFont="1" applyBorder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100"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auto="1"/>
      </font>
      <fill>
        <patternFill>
          <bgColor theme="8" tint="0.79998168889431442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ill>
        <patternFill>
          <bgColor rgb="FFFFC000"/>
        </patternFill>
      </fill>
    </dxf>
    <dxf>
      <fill>
        <patternFill>
          <bgColor rgb="FFEF93B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8" tint="0.79998168889431442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ill>
        <patternFill>
          <bgColor rgb="FFFFC000"/>
        </patternFill>
      </fill>
    </dxf>
    <dxf>
      <fill>
        <patternFill>
          <bgColor rgb="FFEF93B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8" tint="0.79998168889431442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79998168889431442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theme="1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b/>
        <color theme="0"/>
      </font>
      <fill>
        <patternFill>
          <bgColor theme="1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color auto="1"/>
      </font>
      <fill>
        <patternFill>
          <bgColor theme="8" tint="0.79998168889431442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B8B8B"/>
      <rgbColor rgb="FF9999FF"/>
      <rgbColor rgb="FF993366"/>
      <rgbColor rgb="FFFFF2CC"/>
      <rgbColor rgb="FFDDEBF7"/>
      <rgbColor rgb="FF660066"/>
      <rgbColor rgb="FFFF8080"/>
      <rgbColor rgb="FF2E75B6"/>
      <rgbColor rgb="FFD9D9D9"/>
      <rgbColor rgb="FF000080"/>
      <rgbColor rgb="FFFF00FF"/>
      <rgbColor rgb="FF99FF66"/>
      <rgbColor rgb="FF00FFFF"/>
      <rgbColor rgb="FF800080"/>
      <rgbColor rgb="FF800000"/>
      <rgbColor rgb="FF008080"/>
      <rgbColor rgb="FF0000FF"/>
      <rgbColor rgb="FF00CCFF"/>
      <rgbColor rgb="FFF5F5F5"/>
      <rgbColor rgb="FFC6EFCE"/>
      <rgbColor rgb="FFFCE4D6"/>
      <rgbColor rgb="FFD9E1F2"/>
      <rgbColor rgb="FFE6E6E6"/>
      <rgbColor rgb="FFCC99FF"/>
      <rgbColor rgb="FFFBE3D6"/>
      <rgbColor rgb="FF4472C4"/>
      <rgbColor rgb="FF47D45A"/>
      <rgbColor rgb="FF92D050"/>
      <rgbColor rgb="FFFFC000"/>
      <rgbColor rgb="FFFF9900"/>
      <rgbColor rgb="FFFF6600"/>
      <rgbColor rgb="FF595959"/>
      <rgbColor rgb="FF969696"/>
      <rgbColor rgb="FF003366"/>
      <rgbColor rgb="FF00B050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113"/>
  <sheetViews>
    <sheetView tabSelected="1" topLeftCell="B48" zoomScale="90" zoomScaleNormal="90" workbookViewId="0">
      <selection activeCell="AN68" sqref="AN68"/>
    </sheetView>
  </sheetViews>
  <sheetFormatPr defaultColWidth="8.1796875" defaultRowHeight="14.5" x14ac:dyDescent="0.35"/>
  <cols>
    <col min="1" max="1" width="4.26953125" style="14" bestFit="1" customWidth="1"/>
    <col min="2" max="2" width="5" style="14" bestFit="1" customWidth="1"/>
    <col min="3" max="3" width="5.1796875" style="15" bestFit="1" customWidth="1"/>
    <col min="4" max="4" width="4.6328125" style="14" bestFit="1" customWidth="1"/>
    <col min="5" max="5" width="4.90625" style="14" bestFit="1" customWidth="1"/>
    <col min="6" max="6" width="5.1796875" style="14" bestFit="1" customWidth="1"/>
    <col min="7" max="8" width="4.81640625" style="14" bestFit="1" customWidth="1"/>
    <col min="9" max="9" width="4.453125" style="14" bestFit="1" customWidth="1"/>
    <col min="10" max="10" width="4.6328125" style="14" bestFit="1" customWidth="1"/>
    <col min="11" max="12" width="4.81640625" style="14" bestFit="1" customWidth="1"/>
    <col min="13" max="13" width="4.453125" style="14" bestFit="1" customWidth="1"/>
    <col min="14" max="14" width="4.6328125" style="14" bestFit="1" customWidth="1"/>
    <col min="15" max="17" width="4.81640625" style="14" bestFit="1" customWidth="1"/>
    <col min="18" max="18" width="4.6328125" style="14" bestFit="1" customWidth="1"/>
    <col min="19" max="20" width="4.81640625" style="14" bestFit="1" customWidth="1"/>
    <col min="21" max="21" width="4.453125" style="14" bestFit="1" customWidth="1"/>
    <col min="22" max="22" width="4.6328125" style="14" bestFit="1" customWidth="1"/>
    <col min="23" max="23" width="4.81640625" style="14" bestFit="1" customWidth="1"/>
    <col min="24" max="24" width="5.36328125" style="14" customWidth="1"/>
    <col min="25" max="25" width="4.453125" style="14" bestFit="1" customWidth="1"/>
    <col min="26" max="26" width="4.6328125" style="14" bestFit="1" customWidth="1"/>
    <col min="27" max="27" width="4.81640625" style="14" customWidth="1"/>
    <col min="28" max="28" width="5.54296875" style="14" customWidth="1"/>
    <col min="29" max="29" width="4.453125" style="14" bestFit="1" customWidth="1"/>
    <col min="30" max="30" width="4.6328125" style="14" bestFit="1" customWidth="1"/>
    <col min="31" max="31" width="8.1796875" style="15" customWidth="1"/>
    <col min="32" max="32" width="8.1796875" style="14" customWidth="1"/>
    <col min="33" max="33" width="4.26953125" style="14" bestFit="1" customWidth="1"/>
    <col min="34" max="34" width="5.90625" style="14" bestFit="1" customWidth="1"/>
    <col min="35" max="35" width="5.6328125" style="15" bestFit="1" customWidth="1"/>
    <col min="36" max="36" width="5.90625" style="14" bestFit="1" customWidth="1"/>
    <col min="37" max="38" width="5.6328125" style="14" bestFit="1" customWidth="1"/>
    <col min="39" max="39" width="5.90625" style="14" bestFit="1" customWidth="1"/>
    <col min="40" max="40" width="5.6328125" style="14" bestFit="1" customWidth="1"/>
    <col min="41" max="41" width="8.81640625" style="15" customWidth="1"/>
    <col min="42" max="48" width="2.1796875" style="15" bestFit="1" customWidth="1"/>
    <col min="49" max="49" width="8.81640625" style="15" customWidth="1"/>
    <col min="50" max="56" width="2.1796875" style="15" bestFit="1" customWidth="1"/>
    <col min="57" max="57" width="3.7265625" style="15" customWidth="1"/>
    <col min="58" max="58" width="4.36328125" style="1" bestFit="1" customWidth="1"/>
    <col min="59" max="59" width="4.90625" style="1" bestFit="1" customWidth="1"/>
    <col min="60" max="60" width="6.6328125" style="2" customWidth="1"/>
    <col min="61" max="62" width="4.90625" style="2" bestFit="1" customWidth="1"/>
    <col min="63" max="63" width="5.90625" style="3" customWidth="1"/>
    <col min="64" max="64" width="4.90625" bestFit="1" customWidth="1"/>
    <col min="65" max="65" width="7.54296875" style="3" customWidth="1"/>
    <col min="66" max="66" width="8.1796875" style="14" customWidth="1"/>
    <col min="67" max="16384" width="8.1796875" style="14"/>
  </cols>
  <sheetData>
    <row r="1" spans="1:65" ht="15" thickBot="1" x14ac:dyDescent="0.4"/>
    <row r="2" spans="1:65" ht="15.5" thickBot="1" x14ac:dyDescent="0.4">
      <c r="A2" s="1"/>
      <c r="B2" s="117" t="s">
        <v>0</v>
      </c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8"/>
      <c r="AB2" s="118"/>
      <c r="AC2" s="118"/>
      <c r="AD2" s="119"/>
      <c r="AG2" s="1"/>
      <c r="AH2" s="127" t="s">
        <v>1</v>
      </c>
      <c r="AI2" s="128"/>
      <c r="AJ2" s="128"/>
      <c r="AK2" s="128"/>
      <c r="AL2" s="128"/>
      <c r="AM2" s="128"/>
      <c r="AN2" s="129"/>
      <c r="AX2" s="104" t="s">
        <v>70</v>
      </c>
      <c r="AY2" s="105"/>
      <c r="AZ2" s="105"/>
      <c r="BA2" s="105"/>
      <c r="BB2" s="105"/>
      <c r="BC2" s="105"/>
      <c r="BD2" s="106"/>
    </row>
    <row r="3" spans="1:65" ht="15" thickBot="1" x14ac:dyDescent="0.4">
      <c r="A3" s="1"/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4" t="s">
        <v>18</v>
      </c>
      <c r="S3" s="4" t="s">
        <v>19</v>
      </c>
      <c r="T3" s="4" t="s">
        <v>20</v>
      </c>
      <c r="U3" s="4" t="s">
        <v>21</v>
      </c>
      <c r="V3" s="4" t="s">
        <v>22</v>
      </c>
      <c r="W3" s="4" t="s">
        <v>23</v>
      </c>
      <c r="X3" s="4" t="s">
        <v>24</v>
      </c>
      <c r="Y3" s="4" t="s">
        <v>25</v>
      </c>
      <c r="Z3" s="4" t="s">
        <v>26</v>
      </c>
      <c r="AA3" s="4" t="s">
        <v>27</v>
      </c>
      <c r="AB3" s="4" t="s">
        <v>28</v>
      </c>
      <c r="AC3" s="4" t="s">
        <v>29</v>
      </c>
      <c r="AD3" s="4" t="s">
        <v>30</v>
      </c>
      <c r="AG3" s="1"/>
      <c r="AH3" s="85" t="s">
        <v>2</v>
      </c>
      <c r="AI3" s="85" t="s">
        <v>3</v>
      </c>
      <c r="AJ3" s="85" t="s">
        <v>7</v>
      </c>
      <c r="AK3" s="85" t="s">
        <v>8</v>
      </c>
      <c r="AL3" s="85" t="s">
        <v>12</v>
      </c>
      <c r="AM3" s="85" t="s">
        <v>15</v>
      </c>
      <c r="AN3" s="85" t="s">
        <v>16</v>
      </c>
      <c r="AO3" s="77" t="s">
        <v>445</v>
      </c>
      <c r="AP3" s="77">
        <v>7</v>
      </c>
      <c r="AQ3" s="77">
        <v>6</v>
      </c>
      <c r="AR3" s="77">
        <v>5</v>
      </c>
      <c r="AS3" s="77">
        <v>4</v>
      </c>
      <c r="AT3" s="77">
        <v>3</v>
      </c>
      <c r="AU3" s="77">
        <v>2</v>
      </c>
      <c r="AV3" s="90">
        <v>1</v>
      </c>
      <c r="AW3" s="77" t="s">
        <v>445</v>
      </c>
      <c r="AX3" s="92">
        <v>7</v>
      </c>
      <c r="AY3" s="80">
        <v>6</v>
      </c>
      <c r="AZ3" s="80">
        <v>5</v>
      </c>
      <c r="BA3" s="80">
        <v>4</v>
      </c>
      <c r="BB3" s="80">
        <v>3</v>
      </c>
      <c r="BC3" s="80">
        <v>2</v>
      </c>
      <c r="BD3" s="81">
        <v>1</v>
      </c>
    </row>
    <row r="4" spans="1:65" ht="28" customHeight="1" thickBot="1" x14ac:dyDescent="0.3">
      <c r="A4" s="5"/>
      <c r="B4" s="6" t="s">
        <v>31</v>
      </c>
      <c r="C4" s="6" t="s">
        <v>32</v>
      </c>
      <c r="D4" s="7" t="s">
        <v>33</v>
      </c>
      <c r="E4" s="7" t="s">
        <v>34</v>
      </c>
      <c r="F4" s="7" t="s">
        <v>35</v>
      </c>
      <c r="G4" s="6" t="s">
        <v>31</v>
      </c>
      <c r="H4" s="6" t="s">
        <v>32</v>
      </c>
      <c r="I4" s="7" t="s">
        <v>33</v>
      </c>
      <c r="J4" s="7" t="s">
        <v>34</v>
      </c>
      <c r="K4" s="6" t="s">
        <v>31</v>
      </c>
      <c r="L4" s="6" t="s">
        <v>32</v>
      </c>
      <c r="M4" s="7" t="s">
        <v>33</v>
      </c>
      <c r="N4" s="7" t="s">
        <v>34</v>
      </c>
      <c r="O4" s="6" t="s">
        <v>31</v>
      </c>
      <c r="P4" s="6" t="s">
        <v>32</v>
      </c>
      <c r="Q4" s="7" t="s">
        <v>33</v>
      </c>
      <c r="R4" s="7" t="s">
        <v>34</v>
      </c>
      <c r="S4" s="6" t="s">
        <v>31</v>
      </c>
      <c r="T4" s="6" t="s">
        <v>32</v>
      </c>
      <c r="U4" s="7" t="s">
        <v>33</v>
      </c>
      <c r="V4" s="7" t="s">
        <v>34</v>
      </c>
      <c r="W4" s="6" t="s">
        <v>31</v>
      </c>
      <c r="X4" s="6" t="s">
        <v>32</v>
      </c>
      <c r="Y4" s="7" t="s">
        <v>33</v>
      </c>
      <c r="Z4" s="7" t="s">
        <v>34</v>
      </c>
      <c r="AA4" s="6" t="s">
        <v>31</v>
      </c>
      <c r="AB4" s="6" t="s">
        <v>32</v>
      </c>
      <c r="AC4" s="7" t="s">
        <v>33</v>
      </c>
      <c r="AD4" s="7" t="s">
        <v>34</v>
      </c>
      <c r="AG4" s="5"/>
      <c r="AH4" s="83" t="s">
        <v>31</v>
      </c>
      <c r="AI4" s="83" t="s">
        <v>32</v>
      </c>
      <c r="AJ4" s="83" t="s">
        <v>31</v>
      </c>
      <c r="AK4" s="83" t="s">
        <v>32</v>
      </c>
      <c r="AL4" s="83" t="s">
        <v>32</v>
      </c>
      <c r="AM4" s="83" t="s">
        <v>31</v>
      </c>
      <c r="AN4" s="83" t="s">
        <v>32</v>
      </c>
      <c r="AO4" s="82" t="s">
        <v>444</v>
      </c>
      <c r="AP4" s="82" t="s">
        <v>431</v>
      </c>
      <c r="AQ4" s="82" t="s">
        <v>431</v>
      </c>
      <c r="AR4" s="82" t="s">
        <v>431</v>
      </c>
      <c r="AS4" s="82" t="s">
        <v>431</v>
      </c>
      <c r="AT4" s="82" t="s">
        <v>431</v>
      </c>
      <c r="AU4" s="82" t="s">
        <v>431</v>
      </c>
      <c r="AV4" s="82" t="s">
        <v>431</v>
      </c>
      <c r="AW4" s="82" t="s">
        <v>444</v>
      </c>
      <c r="AX4" s="91" t="s">
        <v>431</v>
      </c>
      <c r="AY4" s="91" t="s">
        <v>431</v>
      </c>
      <c r="AZ4" s="91" t="s">
        <v>431</v>
      </c>
      <c r="BA4" s="91" t="s">
        <v>431</v>
      </c>
      <c r="BB4" s="91" t="s">
        <v>431</v>
      </c>
      <c r="BC4" s="91" t="s">
        <v>431</v>
      </c>
      <c r="BD4" s="91" t="s">
        <v>431</v>
      </c>
      <c r="BG4" s="116" t="s">
        <v>36</v>
      </c>
      <c r="BH4" s="116"/>
      <c r="BI4" s="116"/>
      <c r="BJ4" s="116"/>
      <c r="BK4" s="116"/>
      <c r="BL4" s="116"/>
    </row>
    <row r="5" spans="1:65" ht="15" thickBot="1" x14ac:dyDescent="0.3">
      <c r="A5" s="9" t="s">
        <v>37</v>
      </c>
      <c r="B5" s="10" t="s">
        <v>38</v>
      </c>
      <c r="C5" s="10" t="s">
        <v>39</v>
      </c>
      <c r="D5" s="10" t="s">
        <v>40</v>
      </c>
      <c r="E5" s="10" t="s">
        <v>41</v>
      </c>
      <c r="F5" s="10" t="s">
        <v>42</v>
      </c>
      <c r="G5" s="10">
        <v>1234</v>
      </c>
      <c r="H5" s="10">
        <v>1123</v>
      </c>
      <c r="I5" s="10">
        <v>1122</v>
      </c>
      <c r="J5" s="10">
        <v>1112</v>
      </c>
      <c r="K5" s="10">
        <v>2345</v>
      </c>
      <c r="L5" s="10">
        <v>2234</v>
      </c>
      <c r="M5" s="10">
        <v>2233</v>
      </c>
      <c r="N5" s="10">
        <v>2223</v>
      </c>
      <c r="O5" s="10">
        <v>3456</v>
      </c>
      <c r="P5" s="10">
        <v>3345</v>
      </c>
      <c r="Q5" s="10">
        <v>3344</v>
      </c>
      <c r="R5" s="10">
        <v>3334</v>
      </c>
      <c r="S5" s="10">
        <v>4567</v>
      </c>
      <c r="T5" s="10">
        <v>4456</v>
      </c>
      <c r="U5" s="10">
        <v>4455</v>
      </c>
      <c r="V5" s="10">
        <v>4445</v>
      </c>
      <c r="W5" s="10">
        <v>5678</v>
      </c>
      <c r="X5" s="10">
        <v>5567</v>
      </c>
      <c r="Y5" s="10">
        <v>5566</v>
      </c>
      <c r="Z5" s="10">
        <v>5556</v>
      </c>
      <c r="AA5" s="10">
        <v>6789</v>
      </c>
      <c r="AB5" s="10">
        <v>6678</v>
      </c>
      <c r="AC5" s="10">
        <v>6677</v>
      </c>
      <c r="AD5" s="10">
        <v>6667</v>
      </c>
      <c r="AF5" s="101" t="s">
        <v>434</v>
      </c>
      <c r="AG5" s="39" t="s">
        <v>37</v>
      </c>
      <c r="AH5" s="40" t="s">
        <v>38</v>
      </c>
      <c r="AI5" s="40" t="s">
        <v>39</v>
      </c>
      <c r="AJ5" s="40">
        <v>1234</v>
      </c>
      <c r="AK5" s="40">
        <v>1123</v>
      </c>
      <c r="AL5" s="40">
        <v>2234</v>
      </c>
      <c r="AM5" s="40">
        <v>3456</v>
      </c>
      <c r="AN5" s="40">
        <v>3345</v>
      </c>
      <c r="AO5" s="107">
        <f>SUM(AP5:AV16)</f>
        <v>21</v>
      </c>
      <c r="AP5" s="75">
        <f>COUNTIF($BG$6:$GA$28,AH5)</f>
        <v>2</v>
      </c>
      <c r="AQ5" s="75">
        <f t="shared" ref="AQ5:AV5" si="0">COUNTIF($BG$6:$GA$28,AI5)</f>
        <v>0</v>
      </c>
      <c r="AR5" s="75">
        <f t="shared" si="0"/>
        <v>0</v>
      </c>
      <c r="AS5" s="75">
        <f t="shared" si="0"/>
        <v>0</v>
      </c>
      <c r="AT5" s="75">
        <f t="shared" si="0"/>
        <v>0</v>
      </c>
      <c r="AU5" s="75">
        <f t="shared" si="0"/>
        <v>0</v>
      </c>
      <c r="AV5" s="76">
        <f t="shared" si="0"/>
        <v>0</v>
      </c>
      <c r="AW5" s="107">
        <f>SUM(AX5:BD16)</f>
        <v>7</v>
      </c>
      <c r="AX5" s="75">
        <f>COUNTIF($BG$9:$GA$18,AH5)</f>
        <v>2</v>
      </c>
      <c r="AY5" s="75">
        <f t="shared" ref="AY5:BD5" si="1">COUNTIF($BG$9:$GA$18,AI5)</f>
        <v>0</v>
      </c>
      <c r="AZ5" s="75">
        <f t="shared" si="1"/>
        <v>0</v>
      </c>
      <c r="BA5" s="75">
        <f t="shared" si="1"/>
        <v>0</v>
      </c>
      <c r="BB5" s="75">
        <f t="shared" si="1"/>
        <v>0</v>
      </c>
      <c r="BC5" s="75">
        <f t="shared" si="1"/>
        <v>0</v>
      </c>
      <c r="BD5" s="75">
        <f t="shared" si="1"/>
        <v>0</v>
      </c>
      <c r="BG5" s="18" t="s">
        <v>43</v>
      </c>
      <c r="BH5" s="18" t="s">
        <v>44</v>
      </c>
      <c r="BI5" s="18" t="s">
        <v>45</v>
      </c>
      <c r="BJ5" s="18" t="s">
        <v>46</v>
      </c>
      <c r="BK5" s="11" t="s">
        <v>425</v>
      </c>
      <c r="BL5" s="8" t="s">
        <v>433</v>
      </c>
      <c r="BM5" s="18" t="s">
        <v>443</v>
      </c>
    </row>
    <row r="6" spans="1:65" ht="15" thickBot="1" x14ac:dyDescent="0.3">
      <c r="A6" s="9" t="s">
        <v>48</v>
      </c>
      <c r="B6" s="10" t="s">
        <v>49</v>
      </c>
      <c r="C6" s="10" t="s">
        <v>50</v>
      </c>
      <c r="D6" s="10" t="s">
        <v>51</v>
      </c>
      <c r="E6" s="10" t="s">
        <v>52</v>
      </c>
      <c r="F6" s="10">
        <v>1111</v>
      </c>
      <c r="G6" s="10">
        <v>1235</v>
      </c>
      <c r="H6" s="10">
        <v>1124</v>
      </c>
      <c r="I6" s="10">
        <v>1133</v>
      </c>
      <c r="J6" s="10">
        <v>1113</v>
      </c>
      <c r="K6" s="10">
        <v>2346</v>
      </c>
      <c r="L6" s="10">
        <v>2235</v>
      </c>
      <c r="M6" s="10">
        <v>2244</v>
      </c>
      <c r="N6" s="10">
        <v>2224</v>
      </c>
      <c r="O6" s="10">
        <v>3457</v>
      </c>
      <c r="P6" s="10">
        <v>3346</v>
      </c>
      <c r="Q6" s="10">
        <v>3355</v>
      </c>
      <c r="R6" s="10">
        <v>3335</v>
      </c>
      <c r="S6" s="10">
        <v>4568</v>
      </c>
      <c r="T6" s="10">
        <v>4457</v>
      </c>
      <c r="U6" s="10">
        <v>4466</v>
      </c>
      <c r="V6" s="10">
        <v>4446</v>
      </c>
      <c r="W6" s="10">
        <v>5679</v>
      </c>
      <c r="X6" s="10">
        <v>5568</v>
      </c>
      <c r="Y6" s="10">
        <v>5577</v>
      </c>
      <c r="Z6" s="10">
        <v>5557</v>
      </c>
      <c r="AA6" s="10"/>
      <c r="AB6" s="10">
        <v>6679</v>
      </c>
      <c r="AC6" s="10">
        <v>6688</v>
      </c>
      <c r="AD6" s="10">
        <v>6668</v>
      </c>
      <c r="AF6" s="102"/>
      <c r="AG6" s="9" t="s">
        <v>48</v>
      </c>
      <c r="AH6" s="10" t="s">
        <v>49</v>
      </c>
      <c r="AI6" s="10" t="s">
        <v>50</v>
      </c>
      <c r="AJ6" s="10">
        <v>1235</v>
      </c>
      <c r="AK6" s="10">
        <v>1124</v>
      </c>
      <c r="AL6" s="10">
        <v>2235</v>
      </c>
      <c r="AM6" s="10">
        <v>3457</v>
      </c>
      <c r="AN6" s="10">
        <v>3346</v>
      </c>
      <c r="AO6" s="108"/>
      <c r="AP6" s="77">
        <f t="shared" ref="AP6:AP16" si="2">COUNTIF($BG$6:$GA$28,AH6)</f>
        <v>3</v>
      </c>
      <c r="AQ6" s="77">
        <f t="shared" ref="AQ6:AQ16" si="3">COUNTIF($BG$6:$GA$28,AI6)</f>
        <v>0</v>
      </c>
      <c r="AR6" s="77">
        <f t="shared" ref="AR6:AR16" si="4">COUNTIF($BG$6:$GA$28,AJ6)</f>
        <v>0</v>
      </c>
      <c r="AS6" s="77">
        <f t="shared" ref="AS6:AS16" si="5">COUNTIF($BG$6:$GA$28,AK6)</f>
        <v>0</v>
      </c>
      <c r="AT6" s="77">
        <f t="shared" ref="AT6:AT16" si="6">COUNTIF($BG$6:$GA$28,AL6)</f>
        <v>0</v>
      </c>
      <c r="AU6" s="77">
        <f t="shared" ref="AU6:AU16" si="7">COUNTIF($BG$6:$GA$28,AM6)</f>
        <v>1</v>
      </c>
      <c r="AV6" s="79">
        <f t="shared" ref="AV6:AV16" si="8">COUNTIF($BG$6:$GA$28,AN6)</f>
        <v>0</v>
      </c>
      <c r="AW6" s="108"/>
      <c r="AX6" s="75">
        <f t="shared" ref="AX6:AX69" si="9">COUNTIF($BG$9:$GA$18,AH6)</f>
        <v>0</v>
      </c>
      <c r="AY6" s="75">
        <f t="shared" ref="AY6:AY69" si="10">COUNTIF($BG$9:$GA$18,AI6)</f>
        <v>0</v>
      </c>
      <c r="AZ6" s="75">
        <f t="shared" ref="AZ6:AZ69" si="11">COUNTIF($BG$9:$GA$18,AJ6)</f>
        <v>0</v>
      </c>
      <c r="BA6" s="75">
        <f t="shared" ref="BA6:BA69" si="12">COUNTIF($BG$9:$GA$18,AK6)</f>
        <v>0</v>
      </c>
      <c r="BB6" s="75">
        <f t="shared" ref="BB6:BB69" si="13">COUNTIF($BG$9:$GA$18,AL6)</f>
        <v>0</v>
      </c>
      <c r="BC6" s="75">
        <f t="shared" ref="BC6:BC69" si="14">COUNTIF($BG$9:$GA$18,AM6)</f>
        <v>1</v>
      </c>
      <c r="BD6" s="75">
        <f t="shared" ref="BD6:BD69" si="15">COUNTIF($BG$9:$GA$18,AN6)</f>
        <v>0</v>
      </c>
      <c r="BF6" s="123" t="s">
        <v>53</v>
      </c>
      <c r="BG6" s="10">
        <v>1446</v>
      </c>
      <c r="BH6" s="10">
        <v>3679</v>
      </c>
      <c r="BI6" s="10">
        <v>4566</v>
      </c>
      <c r="BJ6" s="11">
        <v>4567</v>
      </c>
      <c r="BK6" s="12">
        <v>3455</v>
      </c>
      <c r="BL6" s="12" t="s">
        <v>298</v>
      </c>
      <c r="BM6" s="12" t="s">
        <v>282</v>
      </c>
    </row>
    <row r="7" spans="1:65" ht="15" thickBot="1" x14ac:dyDescent="0.3">
      <c r="A7" s="9" t="s">
        <v>54</v>
      </c>
      <c r="B7" s="10" t="s">
        <v>55</v>
      </c>
      <c r="C7" s="10" t="s">
        <v>56</v>
      </c>
      <c r="D7" s="10" t="s">
        <v>57</v>
      </c>
      <c r="E7" s="10" t="s">
        <v>58</v>
      </c>
      <c r="F7" s="10">
        <v>2222</v>
      </c>
      <c r="G7" s="10">
        <v>1236</v>
      </c>
      <c r="H7" s="10">
        <v>1125</v>
      </c>
      <c r="I7" s="10">
        <v>1144</v>
      </c>
      <c r="J7" s="10">
        <v>1114</v>
      </c>
      <c r="K7" s="10">
        <v>2347</v>
      </c>
      <c r="L7" s="10">
        <v>2236</v>
      </c>
      <c r="M7" s="10">
        <v>2255</v>
      </c>
      <c r="N7" s="10">
        <v>2225</v>
      </c>
      <c r="O7" s="10">
        <v>3458</v>
      </c>
      <c r="P7" s="10">
        <v>3347</v>
      </c>
      <c r="Q7" s="10">
        <v>3366</v>
      </c>
      <c r="R7" s="10">
        <v>3336</v>
      </c>
      <c r="S7" s="10">
        <v>4569</v>
      </c>
      <c r="T7" s="10">
        <v>4458</v>
      </c>
      <c r="U7" s="10">
        <v>4477</v>
      </c>
      <c r="V7" s="10">
        <v>4447</v>
      </c>
      <c r="W7" s="10">
        <v>5689</v>
      </c>
      <c r="X7" s="10">
        <v>5569</v>
      </c>
      <c r="Y7" s="10">
        <v>5588</v>
      </c>
      <c r="Z7" s="10">
        <v>5558</v>
      </c>
      <c r="AA7" s="10"/>
      <c r="AB7" s="10">
        <v>6689</v>
      </c>
      <c r="AC7" s="10">
        <v>6699</v>
      </c>
      <c r="AD7" s="10">
        <v>6669</v>
      </c>
      <c r="AF7" s="102"/>
      <c r="AG7" s="9" t="s">
        <v>54</v>
      </c>
      <c r="AH7" s="10" t="s">
        <v>55</v>
      </c>
      <c r="AI7" s="10" t="s">
        <v>56</v>
      </c>
      <c r="AJ7" s="10">
        <v>1236</v>
      </c>
      <c r="AK7" s="10">
        <v>1125</v>
      </c>
      <c r="AL7" s="10">
        <v>2236</v>
      </c>
      <c r="AM7" s="10">
        <v>3458</v>
      </c>
      <c r="AN7" s="10">
        <v>3347</v>
      </c>
      <c r="AO7" s="108"/>
      <c r="AP7" s="77">
        <f t="shared" si="2"/>
        <v>0</v>
      </c>
      <c r="AQ7" s="77">
        <f t="shared" si="3"/>
        <v>0</v>
      </c>
      <c r="AR7" s="77">
        <f t="shared" si="4"/>
        <v>0</v>
      </c>
      <c r="AS7" s="77">
        <f t="shared" si="5"/>
        <v>0</v>
      </c>
      <c r="AT7" s="77">
        <f t="shared" si="6"/>
        <v>0</v>
      </c>
      <c r="AU7" s="77">
        <f t="shared" si="7"/>
        <v>0</v>
      </c>
      <c r="AV7" s="79">
        <f t="shared" si="8"/>
        <v>0</v>
      </c>
      <c r="AW7" s="108"/>
      <c r="AX7" s="75">
        <f t="shared" si="9"/>
        <v>0</v>
      </c>
      <c r="AY7" s="75">
        <f t="shared" si="10"/>
        <v>0</v>
      </c>
      <c r="AZ7" s="75">
        <f t="shared" si="11"/>
        <v>0</v>
      </c>
      <c r="BA7" s="75">
        <f t="shared" si="12"/>
        <v>0</v>
      </c>
      <c r="BB7" s="75">
        <f t="shared" si="13"/>
        <v>0</v>
      </c>
      <c r="BC7" s="75">
        <f t="shared" si="14"/>
        <v>0</v>
      </c>
      <c r="BD7" s="75">
        <f t="shared" si="15"/>
        <v>0</v>
      </c>
      <c r="BF7" s="121"/>
      <c r="BG7" s="10">
        <v>2556</v>
      </c>
      <c r="BH7" s="10">
        <v>1237</v>
      </c>
      <c r="BI7" s="10">
        <v>1388</v>
      </c>
      <c r="BJ7" s="11" t="s">
        <v>49</v>
      </c>
      <c r="BK7" s="12">
        <v>4678</v>
      </c>
      <c r="BL7" s="12">
        <v>2488</v>
      </c>
      <c r="BM7" s="12">
        <v>4557</v>
      </c>
    </row>
    <row r="8" spans="1:65" ht="15" thickBot="1" x14ac:dyDescent="0.3">
      <c r="A8" s="9" t="s">
        <v>59</v>
      </c>
      <c r="B8" s="10" t="s">
        <v>60</v>
      </c>
      <c r="C8" s="10" t="s">
        <v>61</v>
      </c>
      <c r="D8" s="10" t="s">
        <v>62</v>
      </c>
      <c r="E8" s="10" t="s">
        <v>63</v>
      </c>
      <c r="F8" s="10">
        <v>3333</v>
      </c>
      <c r="G8" s="10">
        <v>1237</v>
      </c>
      <c r="H8" s="10">
        <v>1126</v>
      </c>
      <c r="I8" s="10">
        <v>1155</v>
      </c>
      <c r="J8" s="10">
        <v>1115</v>
      </c>
      <c r="K8" s="10">
        <v>2348</v>
      </c>
      <c r="L8" s="10">
        <v>2237</v>
      </c>
      <c r="M8" s="10">
        <v>2266</v>
      </c>
      <c r="N8" s="10">
        <v>2226</v>
      </c>
      <c r="O8" s="10">
        <v>3459</v>
      </c>
      <c r="P8" s="10">
        <v>3348</v>
      </c>
      <c r="Q8" s="10">
        <v>3377</v>
      </c>
      <c r="R8" s="10">
        <v>3337</v>
      </c>
      <c r="S8" s="10">
        <v>4578</v>
      </c>
      <c r="T8" s="10">
        <v>4459</v>
      </c>
      <c r="U8" s="10">
        <v>4488</v>
      </c>
      <c r="V8" s="10">
        <v>4448</v>
      </c>
      <c r="W8" s="10">
        <v>5789</v>
      </c>
      <c r="X8" s="10">
        <v>5578</v>
      </c>
      <c r="Y8" s="10">
        <v>5599</v>
      </c>
      <c r="Z8" s="10">
        <v>5559</v>
      </c>
      <c r="AA8" s="10"/>
      <c r="AB8" s="10">
        <v>6778</v>
      </c>
      <c r="AC8" s="10">
        <v>7799</v>
      </c>
      <c r="AD8" s="10">
        <v>6777</v>
      </c>
      <c r="AF8" s="102"/>
      <c r="AG8" s="9" t="s">
        <v>59</v>
      </c>
      <c r="AH8" s="10" t="s">
        <v>60</v>
      </c>
      <c r="AI8" s="10" t="s">
        <v>61</v>
      </c>
      <c r="AJ8" s="10">
        <v>1237</v>
      </c>
      <c r="AK8" s="10">
        <v>1126</v>
      </c>
      <c r="AL8" s="10">
        <v>2237</v>
      </c>
      <c r="AM8" s="10">
        <v>3459</v>
      </c>
      <c r="AN8" s="10">
        <v>3348</v>
      </c>
      <c r="AO8" s="108"/>
      <c r="AP8" s="77">
        <f t="shared" si="2"/>
        <v>0</v>
      </c>
      <c r="AQ8" s="77">
        <f t="shared" si="3"/>
        <v>0</v>
      </c>
      <c r="AR8" s="77">
        <f t="shared" si="4"/>
        <v>1</v>
      </c>
      <c r="AS8" s="77">
        <f t="shared" si="5"/>
        <v>0</v>
      </c>
      <c r="AT8" s="77">
        <f t="shared" si="6"/>
        <v>0</v>
      </c>
      <c r="AU8" s="77">
        <f t="shared" si="7"/>
        <v>0</v>
      </c>
      <c r="AV8" s="79">
        <f t="shared" si="8"/>
        <v>0</v>
      </c>
      <c r="AW8" s="108"/>
      <c r="AX8" s="75">
        <f t="shared" si="9"/>
        <v>0</v>
      </c>
      <c r="AY8" s="75">
        <f t="shared" si="10"/>
        <v>0</v>
      </c>
      <c r="AZ8" s="75">
        <f t="shared" si="11"/>
        <v>0</v>
      </c>
      <c r="BA8" s="75">
        <f t="shared" si="12"/>
        <v>0</v>
      </c>
      <c r="BB8" s="75">
        <f t="shared" si="13"/>
        <v>0</v>
      </c>
      <c r="BC8" s="75">
        <f t="shared" si="14"/>
        <v>0</v>
      </c>
      <c r="BD8" s="75">
        <f t="shared" si="15"/>
        <v>0</v>
      </c>
      <c r="BF8" s="121"/>
      <c r="BG8" s="86">
        <v>2248</v>
      </c>
      <c r="BH8" s="86" t="s">
        <v>64</v>
      </c>
      <c r="BI8" s="86" t="s">
        <v>49</v>
      </c>
      <c r="BJ8" s="26">
        <v>2356</v>
      </c>
      <c r="BK8" s="87" t="s">
        <v>274</v>
      </c>
      <c r="BL8" s="87" t="s">
        <v>352</v>
      </c>
      <c r="BM8" s="87">
        <v>4588</v>
      </c>
    </row>
    <row r="9" spans="1:65" ht="15" thickBot="1" x14ac:dyDescent="0.3">
      <c r="A9" s="9" t="s">
        <v>65</v>
      </c>
      <c r="B9" s="10" t="s">
        <v>66</v>
      </c>
      <c r="C9" s="10" t="s">
        <v>67</v>
      </c>
      <c r="D9" s="10" t="s">
        <v>68</v>
      </c>
      <c r="E9" s="10" t="s">
        <v>69</v>
      </c>
      <c r="F9" s="10">
        <v>4444</v>
      </c>
      <c r="G9" s="10">
        <v>1238</v>
      </c>
      <c r="H9" s="10">
        <v>1127</v>
      </c>
      <c r="I9" s="10">
        <v>1166</v>
      </c>
      <c r="J9" s="10">
        <v>1116</v>
      </c>
      <c r="K9" s="10">
        <v>2349</v>
      </c>
      <c r="L9" s="10">
        <v>2238</v>
      </c>
      <c r="M9" s="10">
        <v>2277</v>
      </c>
      <c r="N9" s="10">
        <v>2227</v>
      </c>
      <c r="O9" s="10">
        <v>3467</v>
      </c>
      <c r="P9" s="10">
        <v>3349</v>
      </c>
      <c r="Q9" s="10">
        <v>3388</v>
      </c>
      <c r="R9" s="10">
        <v>3338</v>
      </c>
      <c r="S9" s="10">
        <v>4579</v>
      </c>
      <c r="T9" s="10">
        <v>4467</v>
      </c>
      <c r="U9" s="10">
        <v>4499</v>
      </c>
      <c r="V9" s="10">
        <v>4449</v>
      </c>
      <c r="W9" s="10"/>
      <c r="X9" s="10">
        <v>5579</v>
      </c>
      <c r="Y9" s="10"/>
      <c r="Z9" s="10">
        <v>5666</v>
      </c>
      <c r="AA9" s="10"/>
      <c r="AB9" s="10">
        <v>6779</v>
      </c>
      <c r="AC9" s="10"/>
      <c r="AD9" s="10">
        <v>6888</v>
      </c>
      <c r="AF9" s="102"/>
      <c r="AG9" s="9" t="s">
        <v>65</v>
      </c>
      <c r="AH9" s="10" t="s">
        <v>66</v>
      </c>
      <c r="AI9" s="10" t="s">
        <v>67</v>
      </c>
      <c r="AJ9" s="10">
        <v>1238</v>
      </c>
      <c r="AK9" s="10">
        <v>1127</v>
      </c>
      <c r="AL9" s="10">
        <v>2238</v>
      </c>
      <c r="AM9" s="10">
        <v>3467</v>
      </c>
      <c r="AN9" s="10">
        <v>3349</v>
      </c>
      <c r="AO9" s="108"/>
      <c r="AP9" s="77">
        <f t="shared" si="2"/>
        <v>0</v>
      </c>
      <c r="AQ9" s="77">
        <f t="shared" si="3"/>
        <v>0</v>
      </c>
      <c r="AR9" s="77">
        <f t="shared" si="4"/>
        <v>1</v>
      </c>
      <c r="AS9" s="77">
        <f t="shared" si="5"/>
        <v>0</v>
      </c>
      <c r="AT9" s="77">
        <f t="shared" si="6"/>
        <v>0</v>
      </c>
      <c r="AU9" s="77">
        <f t="shared" si="7"/>
        <v>1</v>
      </c>
      <c r="AV9" s="79">
        <f t="shared" si="8"/>
        <v>0</v>
      </c>
      <c r="AW9" s="108"/>
      <c r="AX9" s="75">
        <f t="shared" si="9"/>
        <v>0</v>
      </c>
      <c r="AY9" s="75">
        <f t="shared" si="10"/>
        <v>0</v>
      </c>
      <c r="AZ9" s="75">
        <f t="shared" si="11"/>
        <v>1</v>
      </c>
      <c r="BA9" s="75">
        <f t="shared" si="12"/>
        <v>0</v>
      </c>
      <c r="BB9" s="75">
        <f t="shared" si="13"/>
        <v>0</v>
      </c>
      <c r="BC9" s="75">
        <f t="shared" si="14"/>
        <v>0</v>
      </c>
      <c r="BD9" s="75">
        <f t="shared" si="15"/>
        <v>0</v>
      </c>
      <c r="BF9" s="124" t="s">
        <v>70</v>
      </c>
      <c r="BG9" s="40">
        <v>5699</v>
      </c>
      <c r="BH9" s="40">
        <v>1137</v>
      </c>
      <c r="BI9" s="40" t="s">
        <v>71</v>
      </c>
      <c r="BJ9" s="27">
        <v>3679</v>
      </c>
      <c r="BK9" s="88">
        <v>4578</v>
      </c>
      <c r="BL9" s="88" t="s">
        <v>342</v>
      </c>
      <c r="BM9" s="88" t="s">
        <v>228</v>
      </c>
    </row>
    <row r="10" spans="1:65" ht="15" thickBot="1" x14ac:dyDescent="0.3">
      <c r="A10" s="9" t="s">
        <v>72</v>
      </c>
      <c r="B10" s="10" t="s">
        <v>73</v>
      </c>
      <c r="C10" s="10" t="s">
        <v>74</v>
      </c>
      <c r="D10" s="10" t="s">
        <v>75</v>
      </c>
      <c r="E10" s="10" t="s">
        <v>76</v>
      </c>
      <c r="F10" s="10">
        <v>5555</v>
      </c>
      <c r="G10" s="10">
        <v>1239</v>
      </c>
      <c r="H10" s="10">
        <v>1128</v>
      </c>
      <c r="I10" s="10">
        <v>1177</v>
      </c>
      <c r="J10" s="10">
        <v>1117</v>
      </c>
      <c r="K10" s="10">
        <v>2356</v>
      </c>
      <c r="L10" s="10">
        <v>2239</v>
      </c>
      <c r="M10" s="10">
        <v>2288</v>
      </c>
      <c r="N10" s="10">
        <v>2228</v>
      </c>
      <c r="O10" s="10">
        <v>3468</v>
      </c>
      <c r="P10" s="10">
        <v>3356</v>
      </c>
      <c r="Q10" s="10">
        <v>3399</v>
      </c>
      <c r="R10" s="10">
        <v>3339</v>
      </c>
      <c r="S10" s="10">
        <v>4589</v>
      </c>
      <c r="T10" s="10">
        <v>4468</v>
      </c>
      <c r="U10" s="10"/>
      <c r="V10" s="10">
        <v>4555</v>
      </c>
      <c r="W10" s="10"/>
      <c r="X10" s="10">
        <v>5589</v>
      </c>
      <c r="Y10" s="10"/>
      <c r="Z10" s="10">
        <v>5777</v>
      </c>
      <c r="AA10" s="10"/>
      <c r="AB10" s="10">
        <v>6788</v>
      </c>
      <c r="AC10" s="10"/>
      <c r="AD10" s="10">
        <v>6999</v>
      </c>
      <c r="AF10" s="102"/>
      <c r="AG10" s="9" t="s">
        <v>72</v>
      </c>
      <c r="AH10" s="10" t="s">
        <v>73</v>
      </c>
      <c r="AI10" s="10" t="s">
        <v>74</v>
      </c>
      <c r="AJ10" s="10">
        <v>1239</v>
      </c>
      <c r="AK10" s="10">
        <v>1128</v>
      </c>
      <c r="AL10" s="10">
        <v>2239</v>
      </c>
      <c r="AM10" s="10">
        <v>3468</v>
      </c>
      <c r="AN10" s="10">
        <v>3356</v>
      </c>
      <c r="AO10" s="108"/>
      <c r="AP10" s="77">
        <f t="shared" si="2"/>
        <v>0</v>
      </c>
      <c r="AQ10" s="77">
        <f t="shared" si="3"/>
        <v>0</v>
      </c>
      <c r="AR10" s="77">
        <f t="shared" si="4"/>
        <v>0</v>
      </c>
      <c r="AS10" s="77">
        <f t="shared" si="5"/>
        <v>0</v>
      </c>
      <c r="AT10" s="77">
        <f t="shared" si="6"/>
        <v>0</v>
      </c>
      <c r="AU10" s="77">
        <f t="shared" si="7"/>
        <v>0</v>
      </c>
      <c r="AV10" s="79">
        <f t="shared" si="8"/>
        <v>0</v>
      </c>
      <c r="AW10" s="108"/>
      <c r="AX10" s="75">
        <f t="shared" si="9"/>
        <v>0</v>
      </c>
      <c r="AY10" s="75">
        <f t="shared" si="10"/>
        <v>0</v>
      </c>
      <c r="AZ10" s="75">
        <f t="shared" si="11"/>
        <v>0</v>
      </c>
      <c r="BA10" s="75">
        <f t="shared" si="12"/>
        <v>0</v>
      </c>
      <c r="BB10" s="75">
        <f t="shared" si="13"/>
        <v>0</v>
      </c>
      <c r="BC10" s="75">
        <f t="shared" si="14"/>
        <v>0</v>
      </c>
      <c r="BD10" s="75">
        <f t="shared" si="15"/>
        <v>0</v>
      </c>
      <c r="BF10" s="125"/>
      <c r="BG10" s="10">
        <v>2356</v>
      </c>
      <c r="BH10" s="10">
        <v>2446</v>
      </c>
      <c r="BI10" s="10">
        <v>1248</v>
      </c>
      <c r="BJ10" s="11">
        <v>1137</v>
      </c>
      <c r="BK10" s="12">
        <v>1447</v>
      </c>
      <c r="BL10" s="12">
        <v>3889</v>
      </c>
      <c r="BM10" s="12">
        <v>4578</v>
      </c>
    </row>
    <row r="11" spans="1:65" ht="15" thickBot="1" x14ac:dyDescent="0.3">
      <c r="A11" s="9" t="s">
        <v>77</v>
      </c>
      <c r="B11" s="10" t="s">
        <v>78</v>
      </c>
      <c r="C11" s="10" t="s">
        <v>79</v>
      </c>
      <c r="D11" s="10" t="s">
        <v>80</v>
      </c>
      <c r="E11" s="10" t="s">
        <v>81</v>
      </c>
      <c r="F11" s="10">
        <v>6666</v>
      </c>
      <c r="G11" s="10">
        <v>1245</v>
      </c>
      <c r="H11" s="10">
        <v>1129</v>
      </c>
      <c r="I11" s="10">
        <v>1188</v>
      </c>
      <c r="J11" s="10">
        <v>1118</v>
      </c>
      <c r="K11" s="10">
        <v>2357</v>
      </c>
      <c r="L11" s="10">
        <v>2245</v>
      </c>
      <c r="M11" s="10">
        <v>2299</v>
      </c>
      <c r="N11" s="10">
        <v>2229</v>
      </c>
      <c r="O11" s="10">
        <v>3469</v>
      </c>
      <c r="P11" s="10">
        <v>3357</v>
      </c>
      <c r="R11" s="10">
        <v>3444</v>
      </c>
      <c r="S11" s="10">
        <v>4678</v>
      </c>
      <c r="T11" s="10">
        <v>4469</v>
      </c>
      <c r="U11" s="10"/>
      <c r="V11" s="10">
        <v>4666</v>
      </c>
      <c r="W11" s="10"/>
      <c r="X11" s="10">
        <v>5667</v>
      </c>
      <c r="Y11" s="10"/>
      <c r="Z11" s="10">
        <v>5888</v>
      </c>
      <c r="AA11" s="10"/>
      <c r="AB11" s="10">
        <v>6799</v>
      </c>
      <c r="AC11" s="10"/>
      <c r="AD11" s="10"/>
      <c r="AF11" s="102"/>
      <c r="AG11" s="9" t="s">
        <v>77</v>
      </c>
      <c r="AH11" s="10" t="s">
        <v>78</v>
      </c>
      <c r="AI11" s="10" t="s">
        <v>79</v>
      </c>
      <c r="AJ11" s="10">
        <v>1245</v>
      </c>
      <c r="AK11" s="10">
        <v>1129</v>
      </c>
      <c r="AL11" s="10">
        <v>2245</v>
      </c>
      <c r="AM11" s="10">
        <v>3469</v>
      </c>
      <c r="AN11" s="10">
        <v>3357</v>
      </c>
      <c r="AO11" s="108"/>
      <c r="AP11" s="77">
        <f t="shared" si="2"/>
        <v>0</v>
      </c>
      <c r="AQ11" s="77">
        <f t="shared" si="3"/>
        <v>0</v>
      </c>
      <c r="AR11" s="77">
        <f t="shared" si="4"/>
        <v>0</v>
      </c>
      <c r="AS11" s="77">
        <f t="shared" si="5"/>
        <v>0</v>
      </c>
      <c r="AT11" s="77">
        <f t="shared" si="6"/>
        <v>0</v>
      </c>
      <c r="AU11" s="77">
        <f t="shared" si="7"/>
        <v>0</v>
      </c>
      <c r="AV11" s="79">
        <f t="shared" si="8"/>
        <v>0</v>
      </c>
      <c r="AW11" s="108"/>
      <c r="AX11" s="75">
        <f t="shared" si="9"/>
        <v>0</v>
      </c>
      <c r="AY11" s="75">
        <f t="shared" si="10"/>
        <v>0</v>
      </c>
      <c r="AZ11" s="75">
        <f t="shared" si="11"/>
        <v>0</v>
      </c>
      <c r="BA11" s="75">
        <f t="shared" si="12"/>
        <v>0</v>
      </c>
      <c r="BB11" s="75">
        <f t="shared" si="13"/>
        <v>0</v>
      </c>
      <c r="BC11" s="75">
        <f t="shared" si="14"/>
        <v>0</v>
      </c>
      <c r="BD11" s="75">
        <f t="shared" si="15"/>
        <v>0</v>
      </c>
      <c r="BF11" s="125"/>
      <c r="BG11" s="10">
        <v>3679</v>
      </c>
      <c r="BH11" s="10">
        <v>1339</v>
      </c>
      <c r="BI11" s="10" t="s">
        <v>38</v>
      </c>
      <c r="BJ11" s="11" t="s">
        <v>71</v>
      </c>
      <c r="BK11" s="12">
        <v>3577</v>
      </c>
      <c r="BL11" s="12">
        <v>2367</v>
      </c>
      <c r="BM11" s="12">
        <v>5788</v>
      </c>
    </row>
    <row r="12" spans="1:65" ht="15" thickBot="1" x14ac:dyDescent="0.3">
      <c r="A12" s="9" t="s">
        <v>82</v>
      </c>
      <c r="B12" s="10" t="s">
        <v>83</v>
      </c>
      <c r="C12" s="10" t="s">
        <v>84</v>
      </c>
      <c r="D12" s="10" t="s">
        <v>85</v>
      </c>
      <c r="E12" s="10" t="s">
        <v>86</v>
      </c>
      <c r="F12" s="10">
        <v>7777</v>
      </c>
      <c r="G12" s="10">
        <v>1246</v>
      </c>
      <c r="H12" s="10">
        <v>1134</v>
      </c>
      <c r="I12" s="10">
        <v>1199</v>
      </c>
      <c r="J12" s="10">
        <v>1119</v>
      </c>
      <c r="K12" s="10">
        <v>2358</v>
      </c>
      <c r="L12" s="10">
        <v>2246</v>
      </c>
      <c r="M12" s="10"/>
      <c r="N12" s="10">
        <v>2333</v>
      </c>
      <c r="O12" s="10">
        <v>3478</v>
      </c>
      <c r="P12" s="10">
        <v>3358</v>
      </c>
      <c r="Q12" s="10"/>
      <c r="R12" s="10">
        <v>3555</v>
      </c>
      <c r="S12" s="10">
        <v>4679</v>
      </c>
      <c r="T12" s="10">
        <v>4478</v>
      </c>
      <c r="U12" s="10"/>
      <c r="V12" s="10">
        <v>4777</v>
      </c>
      <c r="W12" s="10"/>
      <c r="X12" s="10">
        <v>5668</v>
      </c>
      <c r="Y12" s="10"/>
      <c r="Z12" s="10">
        <v>5999</v>
      </c>
      <c r="AA12" s="10"/>
      <c r="AB12" s="10">
        <v>6889</v>
      </c>
      <c r="AC12" s="10"/>
      <c r="AD12" s="10"/>
      <c r="AF12" s="102"/>
      <c r="AG12" s="9" t="s">
        <v>82</v>
      </c>
      <c r="AH12" s="10" t="s">
        <v>83</v>
      </c>
      <c r="AI12" s="10" t="s">
        <v>84</v>
      </c>
      <c r="AJ12" s="10">
        <v>1246</v>
      </c>
      <c r="AK12" s="10">
        <v>1134</v>
      </c>
      <c r="AL12" s="10">
        <v>2246</v>
      </c>
      <c r="AM12" s="10">
        <v>3478</v>
      </c>
      <c r="AN12" s="10">
        <v>3358</v>
      </c>
      <c r="AO12" s="108"/>
      <c r="AP12" s="77">
        <f t="shared" si="2"/>
        <v>0</v>
      </c>
      <c r="AQ12" s="77">
        <f t="shared" si="3"/>
        <v>0</v>
      </c>
      <c r="AR12" s="77">
        <f t="shared" si="4"/>
        <v>1</v>
      </c>
      <c r="AS12" s="77">
        <f t="shared" si="5"/>
        <v>0</v>
      </c>
      <c r="AT12" s="77">
        <f t="shared" si="6"/>
        <v>0</v>
      </c>
      <c r="AU12" s="77">
        <f t="shared" si="7"/>
        <v>0</v>
      </c>
      <c r="AV12" s="79">
        <f t="shared" si="8"/>
        <v>1</v>
      </c>
      <c r="AW12" s="108"/>
      <c r="AX12" s="75">
        <f t="shared" si="9"/>
        <v>0</v>
      </c>
      <c r="AY12" s="75">
        <f t="shared" si="10"/>
        <v>0</v>
      </c>
      <c r="AZ12" s="75">
        <f t="shared" si="11"/>
        <v>0</v>
      </c>
      <c r="BA12" s="75">
        <f t="shared" si="12"/>
        <v>0</v>
      </c>
      <c r="BB12" s="75">
        <f t="shared" si="13"/>
        <v>0</v>
      </c>
      <c r="BC12" s="75">
        <f t="shared" si="14"/>
        <v>0</v>
      </c>
      <c r="BD12" s="75">
        <f t="shared" si="15"/>
        <v>0</v>
      </c>
      <c r="BF12" s="125"/>
      <c r="BG12" s="10" t="s">
        <v>51</v>
      </c>
      <c r="BH12" s="10">
        <v>3667</v>
      </c>
      <c r="BI12" s="10">
        <v>5588</v>
      </c>
      <c r="BJ12" s="11">
        <v>2446</v>
      </c>
      <c r="BK12" s="12">
        <v>1238</v>
      </c>
      <c r="BL12" s="12" t="s">
        <v>279</v>
      </c>
      <c r="BM12" s="12" t="s">
        <v>276</v>
      </c>
    </row>
    <row r="13" spans="1:65" ht="15" thickBot="1" x14ac:dyDescent="0.3">
      <c r="A13" s="9" t="s">
        <v>87</v>
      </c>
      <c r="B13" s="10" t="s">
        <v>88</v>
      </c>
      <c r="C13" s="10" t="s">
        <v>89</v>
      </c>
      <c r="D13" s="10" t="s">
        <v>90</v>
      </c>
      <c r="E13" s="10" t="s">
        <v>91</v>
      </c>
      <c r="F13" s="10">
        <v>8888</v>
      </c>
      <c r="G13" s="10">
        <v>1247</v>
      </c>
      <c r="H13" s="10">
        <v>1135</v>
      </c>
      <c r="I13" s="10"/>
      <c r="J13" s="10">
        <v>1222</v>
      </c>
      <c r="K13" s="10">
        <v>2359</v>
      </c>
      <c r="L13" s="10">
        <v>2247</v>
      </c>
      <c r="M13" s="10"/>
      <c r="N13" s="10">
        <v>2444</v>
      </c>
      <c r="O13" s="10">
        <v>3479</v>
      </c>
      <c r="P13" s="10">
        <v>3359</v>
      </c>
      <c r="Q13" s="10"/>
      <c r="R13" s="10">
        <v>3666</v>
      </c>
      <c r="S13" s="10">
        <v>4689</v>
      </c>
      <c r="T13" s="10">
        <v>4479</v>
      </c>
      <c r="U13" s="10"/>
      <c r="V13" s="10">
        <v>4888</v>
      </c>
      <c r="W13" s="10"/>
      <c r="X13" s="10">
        <v>5669</v>
      </c>
      <c r="Y13" s="10"/>
      <c r="Z13" s="10"/>
      <c r="AA13" s="10"/>
      <c r="AB13" s="10">
        <v>6899</v>
      </c>
      <c r="AC13" s="10"/>
      <c r="AD13" s="10"/>
      <c r="AF13" s="102"/>
      <c r="AG13" s="9" t="s">
        <v>87</v>
      </c>
      <c r="AH13" s="10" t="s">
        <v>88</v>
      </c>
      <c r="AI13" s="10" t="s">
        <v>89</v>
      </c>
      <c r="AJ13" s="10">
        <v>1247</v>
      </c>
      <c r="AK13" s="10">
        <v>1135</v>
      </c>
      <c r="AL13" s="10">
        <v>2247</v>
      </c>
      <c r="AM13" s="10">
        <v>3479</v>
      </c>
      <c r="AN13" s="10">
        <v>3359</v>
      </c>
      <c r="AO13" s="108"/>
      <c r="AP13" s="77">
        <f t="shared" si="2"/>
        <v>1</v>
      </c>
      <c r="AQ13" s="77">
        <f t="shared" si="3"/>
        <v>0</v>
      </c>
      <c r="AR13" s="77">
        <f t="shared" si="4"/>
        <v>0</v>
      </c>
      <c r="AS13" s="77">
        <f t="shared" si="5"/>
        <v>0</v>
      </c>
      <c r="AT13" s="77">
        <f t="shared" si="6"/>
        <v>0</v>
      </c>
      <c r="AU13" s="77">
        <f t="shared" si="7"/>
        <v>0</v>
      </c>
      <c r="AV13" s="79">
        <f t="shared" si="8"/>
        <v>0</v>
      </c>
      <c r="AW13" s="108"/>
      <c r="AX13" s="75">
        <f t="shared" si="9"/>
        <v>0</v>
      </c>
      <c r="AY13" s="75">
        <f t="shared" si="10"/>
        <v>0</v>
      </c>
      <c r="AZ13" s="75">
        <f t="shared" si="11"/>
        <v>0</v>
      </c>
      <c r="BA13" s="75">
        <f t="shared" si="12"/>
        <v>0</v>
      </c>
      <c r="BB13" s="75">
        <f t="shared" si="13"/>
        <v>0</v>
      </c>
      <c r="BC13" s="75">
        <f t="shared" si="14"/>
        <v>0</v>
      </c>
      <c r="BD13" s="75">
        <f t="shared" si="15"/>
        <v>0</v>
      </c>
      <c r="BF13" s="125"/>
      <c r="BG13" s="10">
        <v>1445</v>
      </c>
      <c r="BH13" s="10">
        <v>2568</v>
      </c>
      <c r="BI13" s="10">
        <v>6678</v>
      </c>
      <c r="BJ13" s="11" t="s">
        <v>38</v>
      </c>
      <c r="BK13" s="12">
        <v>2456</v>
      </c>
      <c r="BL13" s="12" t="s">
        <v>102</v>
      </c>
      <c r="BM13" s="12">
        <v>4589</v>
      </c>
    </row>
    <row r="14" spans="1:65" ht="15" thickBot="1" x14ac:dyDescent="0.3">
      <c r="A14" s="9" t="s">
        <v>92</v>
      </c>
      <c r="B14" s="10" t="s">
        <v>93</v>
      </c>
      <c r="C14" s="10" t="s">
        <v>94</v>
      </c>
      <c r="D14" s="10">
        <v>7788</v>
      </c>
      <c r="E14" s="10" t="s">
        <v>95</v>
      </c>
      <c r="F14" s="10">
        <v>9999</v>
      </c>
      <c r="G14" s="10">
        <v>1248</v>
      </c>
      <c r="H14" s="10">
        <v>1136</v>
      </c>
      <c r="I14" s="10"/>
      <c r="J14" s="10">
        <v>1333</v>
      </c>
      <c r="K14" s="10">
        <v>2367</v>
      </c>
      <c r="L14" s="10">
        <v>2248</v>
      </c>
      <c r="M14" s="10"/>
      <c r="N14" s="10">
        <v>2555</v>
      </c>
      <c r="O14" s="10">
        <v>3489</v>
      </c>
      <c r="P14" s="10">
        <v>3367</v>
      </c>
      <c r="Q14" s="10"/>
      <c r="R14" s="10">
        <v>3777</v>
      </c>
      <c r="S14" s="10">
        <v>4789</v>
      </c>
      <c r="T14" s="10">
        <v>4489</v>
      </c>
      <c r="U14" s="10"/>
      <c r="V14" s="10">
        <v>4999</v>
      </c>
      <c r="W14" s="10"/>
      <c r="X14" s="10">
        <v>5677</v>
      </c>
      <c r="Y14" s="10"/>
      <c r="Z14" s="10"/>
      <c r="AA14" s="10"/>
      <c r="AB14" s="10">
        <v>7789</v>
      </c>
      <c r="AC14" s="10"/>
      <c r="AD14" s="10"/>
      <c r="AF14" s="102"/>
      <c r="AG14" s="9" t="s">
        <v>92</v>
      </c>
      <c r="AH14" s="10" t="s">
        <v>93</v>
      </c>
      <c r="AI14" s="10" t="s">
        <v>94</v>
      </c>
      <c r="AJ14" s="10">
        <v>1248</v>
      </c>
      <c r="AK14" s="10">
        <v>1136</v>
      </c>
      <c r="AL14" s="10">
        <v>2248</v>
      </c>
      <c r="AM14" s="10">
        <v>3489</v>
      </c>
      <c r="AN14" s="10">
        <v>3367</v>
      </c>
      <c r="AO14" s="108"/>
      <c r="AP14" s="77">
        <f t="shared" si="2"/>
        <v>0</v>
      </c>
      <c r="AQ14" s="77">
        <f t="shared" si="3"/>
        <v>1</v>
      </c>
      <c r="AR14" s="77">
        <f t="shared" si="4"/>
        <v>1</v>
      </c>
      <c r="AS14" s="77">
        <f t="shared" si="5"/>
        <v>0</v>
      </c>
      <c r="AT14" s="77">
        <f t="shared" si="6"/>
        <v>1</v>
      </c>
      <c r="AU14" s="77">
        <f t="shared" si="7"/>
        <v>0</v>
      </c>
      <c r="AV14" s="79">
        <f t="shared" si="8"/>
        <v>0</v>
      </c>
      <c r="AW14" s="108"/>
      <c r="AX14" s="75">
        <f t="shared" si="9"/>
        <v>0</v>
      </c>
      <c r="AY14" s="75">
        <f t="shared" si="10"/>
        <v>0</v>
      </c>
      <c r="AZ14" s="75">
        <f t="shared" si="11"/>
        <v>1</v>
      </c>
      <c r="BA14" s="75">
        <f t="shared" si="12"/>
        <v>0</v>
      </c>
      <c r="BB14" s="75">
        <f t="shared" si="13"/>
        <v>0</v>
      </c>
      <c r="BC14" s="75">
        <f t="shared" si="14"/>
        <v>0</v>
      </c>
      <c r="BD14" s="75">
        <f t="shared" si="15"/>
        <v>0</v>
      </c>
      <c r="BF14" s="125"/>
      <c r="BG14" s="10" t="s">
        <v>96</v>
      </c>
      <c r="BH14" s="10">
        <v>1344</v>
      </c>
      <c r="BI14" s="10" t="s">
        <v>97</v>
      </c>
      <c r="BJ14" s="11">
        <v>5588</v>
      </c>
      <c r="BK14" s="12">
        <v>5789</v>
      </c>
      <c r="BL14" s="12">
        <v>2368</v>
      </c>
      <c r="BM14" s="12" t="s">
        <v>313</v>
      </c>
    </row>
    <row r="15" spans="1:65" ht="15" thickBot="1" x14ac:dyDescent="0.3">
      <c r="A15" s="9" t="s">
        <v>98</v>
      </c>
      <c r="B15" s="10" t="s">
        <v>99</v>
      </c>
      <c r="C15" s="10" t="s">
        <v>100</v>
      </c>
      <c r="D15" s="10">
        <v>8899</v>
      </c>
      <c r="E15" s="10" t="s">
        <v>101</v>
      </c>
      <c r="F15" s="10"/>
      <c r="G15" s="10">
        <v>1249</v>
      </c>
      <c r="H15" s="10">
        <v>1137</v>
      </c>
      <c r="I15" s="10"/>
      <c r="J15" s="10">
        <v>1444</v>
      </c>
      <c r="K15" s="10">
        <v>2368</v>
      </c>
      <c r="L15" s="10">
        <v>2249</v>
      </c>
      <c r="M15" s="10"/>
      <c r="N15" s="10">
        <v>2666</v>
      </c>
      <c r="O15" s="10">
        <v>3567</v>
      </c>
      <c r="P15" s="10">
        <v>3368</v>
      </c>
      <c r="Q15" s="10"/>
      <c r="R15" s="10">
        <v>3888</v>
      </c>
      <c r="S15" s="10"/>
      <c r="T15" s="10">
        <v>4556</v>
      </c>
      <c r="U15" s="10"/>
      <c r="V15" s="10"/>
      <c r="W15" s="10"/>
      <c r="X15" s="10">
        <v>5688</v>
      </c>
      <c r="Y15" s="10"/>
      <c r="Z15" s="10"/>
      <c r="AA15" s="10"/>
      <c r="AB15" s="10">
        <v>7889</v>
      </c>
      <c r="AC15" s="10"/>
      <c r="AD15" s="10"/>
      <c r="AF15" s="102"/>
      <c r="AG15" s="9" t="s">
        <v>98</v>
      </c>
      <c r="AH15" s="10" t="s">
        <v>99</v>
      </c>
      <c r="AI15" s="10" t="s">
        <v>100</v>
      </c>
      <c r="AJ15" s="10">
        <v>1249</v>
      </c>
      <c r="AK15" s="10">
        <v>1137</v>
      </c>
      <c r="AL15" s="10">
        <v>2249</v>
      </c>
      <c r="AM15" s="10">
        <v>3567</v>
      </c>
      <c r="AN15" s="10">
        <v>3368</v>
      </c>
      <c r="AO15" s="108"/>
      <c r="AP15" s="77">
        <f t="shared" si="2"/>
        <v>0</v>
      </c>
      <c r="AQ15" s="77">
        <f t="shared" si="3"/>
        <v>0</v>
      </c>
      <c r="AR15" s="77">
        <f t="shared" si="4"/>
        <v>0</v>
      </c>
      <c r="AS15" s="77">
        <f t="shared" si="5"/>
        <v>3</v>
      </c>
      <c r="AT15" s="77">
        <f t="shared" si="6"/>
        <v>0</v>
      </c>
      <c r="AU15" s="77">
        <f t="shared" si="7"/>
        <v>0</v>
      </c>
      <c r="AV15" s="79">
        <f t="shared" si="8"/>
        <v>0</v>
      </c>
      <c r="AW15" s="108"/>
      <c r="AX15" s="75">
        <f t="shared" si="9"/>
        <v>0</v>
      </c>
      <c r="AY15" s="75">
        <f t="shared" si="10"/>
        <v>0</v>
      </c>
      <c r="AZ15" s="75">
        <f t="shared" si="11"/>
        <v>0</v>
      </c>
      <c r="BA15" s="75">
        <f t="shared" si="12"/>
        <v>2</v>
      </c>
      <c r="BB15" s="75">
        <f t="shared" si="13"/>
        <v>0</v>
      </c>
      <c r="BC15" s="75">
        <f t="shared" si="14"/>
        <v>0</v>
      </c>
      <c r="BD15" s="75">
        <f t="shared" si="15"/>
        <v>0</v>
      </c>
      <c r="BF15" s="125"/>
      <c r="BG15" s="10" t="s">
        <v>102</v>
      </c>
      <c r="BH15" s="10">
        <v>2337</v>
      </c>
      <c r="BI15" s="10">
        <v>6667</v>
      </c>
      <c r="BJ15" s="11">
        <v>6678</v>
      </c>
      <c r="BK15" s="12" t="s">
        <v>307</v>
      </c>
      <c r="BL15" s="12">
        <v>3455</v>
      </c>
      <c r="BM15" s="12">
        <v>4789</v>
      </c>
    </row>
    <row r="16" spans="1:65" ht="15" thickBot="1" x14ac:dyDescent="0.3">
      <c r="A16" s="9" t="s">
        <v>104</v>
      </c>
      <c r="B16" s="10" t="s">
        <v>105</v>
      </c>
      <c r="C16" s="10" t="s">
        <v>106</v>
      </c>
      <c r="D16" s="10"/>
      <c r="E16" s="10" t="s">
        <v>107</v>
      </c>
      <c r="F16" s="10"/>
      <c r="G16" s="10">
        <v>1256</v>
      </c>
      <c r="H16" s="10">
        <v>1138</v>
      </c>
      <c r="I16" s="10"/>
      <c r="J16" s="10">
        <v>1555</v>
      </c>
      <c r="K16" s="10">
        <v>2369</v>
      </c>
      <c r="L16" s="10">
        <v>2256</v>
      </c>
      <c r="M16" s="10"/>
      <c r="N16" s="10">
        <v>2777</v>
      </c>
      <c r="O16" s="10">
        <v>3568</v>
      </c>
      <c r="P16" s="10">
        <v>3369</v>
      </c>
      <c r="Q16" s="10"/>
      <c r="R16" s="10">
        <v>3999</v>
      </c>
      <c r="S16" s="10"/>
      <c r="T16" s="10">
        <v>4557</v>
      </c>
      <c r="U16" s="10"/>
      <c r="V16" s="10"/>
      <c r="W16" s="10"/>
      <c r="X16" s="10">
        <v>5699</v>
      </c>
      <c r="Y16" s="10"/>
      <c r="Z16" s="10"/>
      <c r="AA16" s="10"/>
      <c r="AB16" s="10">
        <v>7899</v>
      </c>
      <c r="AC16" s="10"/>
      <c r="AD16" s="10"/>
      <c r="AF16" s="103"/>
      <c r="AG16" s="41" t="s">
        <v>104</v>
      </c>
      <c r="AH16" s="42" t="s">
        <v>105</v>
      </c>
      <c r="AI16" s="42" t="s">
        <v>106</v>
      </c>
      <c r="AJ16" s="42">
        <v>1256</v>
      </c>
      <c r="AK16" s="42">
        <v>1138</v>
      </c>
      <c r="AL16" s="42">
        <v>2256</v>
      </c>
      <c r="AM16" s="42">
        <v>3568</v>
      </c>
      <c r="AN16" s="42">
        <v>3369</v>
      </c>
      <c r="AO16" s="109"/>
      <c r="AP16" s="80">
        <f t="shared" si="2"/>
        <v>0</v>
      </c>
      <c r="AQ16" s="80">
        <f t="shared" si="3"/>
        <v>1</v>
      </c>
      <c r="AR16" s="80">
        <f t="shared" si="4"/>
        <v>0</v>
      </c>
      <c r="AS16" s="80">
        <f t="shared" si="5"/>
        <v>0</v>
      </c>
      <c r="AT16" s="80">
        <f t="shared" si="6"/>
        <v>0</v>
      </c>
      <c r="AU16" s="80">
        <f t="shared" si="7"/>
        <v>2</v>
      </c>
      <c r="AV16" s="81">
        <f t="shared" si="8"/>
        <v>0</v>
      </c>
      <c r="AW16" s="109"/>
      <c r="AX16" s="75">
        <f t="shared" si="9"/>
        <v>0</v>
      </c>
      <c r="AY16" s="75">
        <f t="shared" si="10"/>
        <v>0</v>
      </c>
      <c r="AZ16" s="75">
        <f t="shared" si="11"/>
        <v>0</v>
      </c>
      <c r="BA16" s="75">
        <f t="shared" si="12"/>
        <v>0</v>
      </c>
      <c r="BB16" s="75">
        <f t="shared" si="13"/>
        <v>0</v>
      </c>
      <c r="BC16" s="75">
        <f t="shared" si="14"/>
        <v>0</v>
      </c>
      <c r="BD16" s="75">
        <f t="shared" si="15"/>
        <v>0</v>
      </c>
      <c r="BF16" s="125"/>
      <c r="BG16" s="10" t="s">
        <v>108</v>
      </c>
      <c r="BH16" s="10">
        <v>2489</v>
      </c>
      <c r="BI16" s="10" t="s">
        <v>109</v>
      </c>
      <c r="BJ16" s="11" t="s">
        <v>96</v>
      </c>
      <c r="BK16" s="12" t="s">
        <v>195</v>
      </c>
      <c r="BL16" s="12">
        <v>3379</v>
      </c>
      <c r="BM16" s="12">
        <v>5577</v>
      </c>
    </row>
    <row r="17" spans="1:65" ht="15" thickBot="1" x14ac:dyDescent="0.3">
      <c r="A17" s="9" t="s">
        <v>110</v>
      </c>
      <c r="B17" s="10" t="s">
        <v>111</v>
      </c>
      <c r="C17" s="10" t="s">
        <v>108</v>
      </c>
      <c r="D17" s="10"/>
      <c r="E17" s="10" t="s">
        <v>112</v>
      </c>
      <c r="F17" s="10"/>
      <c r="G17" s="10">
        <v>1257</v>
      </c>
      <c r="H17" s="10">
        <v>1139</v>
      </c>
      <c r="I17" s="10"/>
      <c r="J17" s="10">
        <v>1666</v>
      </c>
      <c r="K17" s="10">
        <v>2378</v>
      </c>
      <c r="L17" s="10">
        <v>2257</v>
      </c>
      <c r="M17" s="10"/>
      <c r="N17" s="10">
        <v>2888</v>
      </c>
      <c r="O17" s="10">
        <v>3569</v>
      </c>
      <c r="P17" s="10">
        <v>3378</v>
      </c>
      <c r="Q17" s="10"/>
      <c r="R17" s="10"/>
      <c r="S17" s="10"/>
      <c r="T17" s="10">
        <v>4558</v>
      </c>
      <c r="U17" s="10"/>
      <c r="V17" s="10"/>
      <c r="W17" s="10"/>
      <c r="X17" s="10">
        <v>5778</v>
      </c>
      <c r="Y17" s="10"/>
      <c r="Z17" s="10"/>
      <c r="AA17" s="10"/>
      <c r="AB17" s="10"/>
      <c r="AC17" s="10"/>
      <c r="AD17" s="10"/>
      <c r="AF17" s="110" t="s">
        <v>435</v>
      </c>
      <c r="AG17" s="39" t="s">
        <v>110</v>
      </c>
      <c r="AH17" s="93" t="s">
        <v>111</v>
      </c>
      <c r="AI17" s="40" t="s">
        <v>108</v>
      </c>
      <c r="AJ17" s="40">
        <v>1257</v>
      </c>
      <c r="AK17" s="40">
        <v>1139</v>
      </c>
      <c r="AL17" s="40">
        <v>2257</v>
      </c>
      <c r="AM17" s="40">
        <v>3569</v>
      </c>
      <c r="AN17" s="40">
        <v>3378</v>
      </c>
      <c r="AO17" s="107">
        <f t="shared" ref="AO17" si="16">SUM(AP17:AV28)</f>
        <v>18</v>
      </c>
      <c r="AP17" s="75">
        <f t="shared" ref="AP17:AP80" si="17">COUNTIF($BG$6:$GA$28,AH17)</f>
        <v>0</v>
      </c>
      <c r="AQ17" s="75">
        <f t="shared" ref="AQ17:AQ80" si="18">COUNTIF($BG$6:$GA$28,AI17)</f>
        <v>1</v>
      </c>
      <c r="AR17" s="75">
        <f t="shared" ref="AR17:AR80" si="19">COUNTIF($BG$6:$GA$28,AJ17)</f>
        <v>0</v>
      </c>
      <c r="AS17" s="75">
        <f t="shared" ref="AS17:AS80" si="20">COUNTIF($BG$6:$GA$28,AK17)</f>
        <v>0</v>
      </c>
      <c r="AT17" s="75">
        <f t="shared" ref="AT17:AT80" si="21">COUNTIF($BG$6:$GA$28,AL17)</f>
        <v>0</v>
      </c>
      <c r="AU17" s="75">
        <f t="shared" ref="AU17:AU80" si="22">COUNTIF($BG$6:$GA$28,AM17)</f>
        <v>0</v>
      </c>
      <c r="AV17" s="76">
        <f t="shared" ref="AV17:AV24" si="23">COUNTIF($BG$6:$GA$28,AN17)</f>
        <v>0</v>
      </c>
      <c r="AW17" s="107">
        <f t="shared" ref="AW17" si="24">SUM(AX17:BD28)</f>
        <v>9</v>
      </c>
      <c r="AX17" s="75">
        <f t="shared" si="9"/>
        <v>0</v>
      </c>
      <c r="AY17" s="75">
        <f t="shared" si="10"/>
        <v>1</v>
      </c>
      <c r="AZ17" s="75">
        <f t="shared" si="11"/>
        <v>0</v>
      </c>
      <c r="BA17" s="75">
        <f t="shared" si="12"/>
        <v>0</v>
      </c>
      <c r="BB17" s="75">
        <f t="shared" si="13"/>
        <v>0</v>
      </c>
      <c r="BC17" s="75">
        <f t="shared" si="14"/>
        <v>0</v>
      </c>
      <c r="BD17" s="75">
        <f t="shared" si="15"/>
        <v>0</v>
      </c>
      <c r="BF17" s="125"/>
      <c r="BG17" s="10">
        <v>1347</v>
      </c>
      <c r="BH17" s="10">
        <v>1668</v>
      </c>
      <c r="BI17" s="10" t="s">
        <v>113</v>
      </c>
      <c r="BJ17" s="11">
        <v>1344</v>
      </c>
      <c r="BK17" s="12">
        <v>1488</v>
      </c>
      <c r="BL17" s="12">
        <v>3457</v>
      </c>
      <c r="BM17" s="12">
        <v>3666</v>
      </c>
    </row>
    <row r="18" spans="1:65" ht="15" thickBot="1" x14ac:dyDescent="0.3">
      <c r="A18" s="9" t="s">
        <v>114</v>
      </c>
      <c r="B18" s="10" t="s">
        <v>115</v>
      </c>
      <c r="C18" s="10" t="s">
        <v>116</v>
      </c>
      <c r="D18" s="10"/>
      <c r="E18" s="10" t="s">
        <v>117</v>
      </c>
      <c r="F18" s="10"/>
      <c r="G18" s="10">
        <v>1258</v>
      </c>
      <c r="H18" s="10">
        <v>1145</v>
      </c>
      <c r="I18" s="10"/>
      <c r="J18" s="10">
        <v>1777</v>
      </c>
      <c r="K18" s="10">
        <v>2379</v>
      </c>
      <c r="L18" s="10">
        <v>2258</v>
      </c>
      <c r="M18" s="10"/>
      <c r="N18" s="10">
        <v>2999</v>
      </c>
      <c r="O18" s="10">
        <v>3578</v>
      </c>
      <c r="P18" s="10">
        <v>3379</v>
      </c>
      <c r="Q18" s="10"/>
      <c r="R18" s="10"/>
      <c r="S18" s="10"/>
      <c r="T18" s="10">
        <v>4559</v>
      </c>
      <c r="U18" s="10"/>
      <c r="V18" s="10"/>
      <c r="W18" s="10"/>
      <c r="X18" s="10">
        <v>5779</v>
      </c>
      <c r="Y18" s="10"/>
      <c r="Z18" s="10"/>
      <c r="AA18" s="10"/>
      <c r="AB18" s="10"/>
      <c r="AC18" s="10"/>
      <c r="AD18" s="10"/>
      <c r="AF18" s="111"/>
      <c r="AG18" s="9" t="s">
        <v>114</v>
      </c>
      <c r="AH18" s="97" t="s">
        <v>115</v>
      </c>
      <c r="AI18" s="10" t="s">
        <v>116</v>
      </c>
      <c r="AJ18" s="10">
        <v>1258</v>
      </c>
      <c r="AK18" s="10">
        <v>1145</v>
      </c>
      <c r="AL18" s="10">
        <v>2258</v>
      </c>
      <c r="AM18" s="10">
        <v>3578</v>
      </c>
      <c r="AN18" s="10">
        <v>3379</v>
      </c>
      <c r="AO18" s="108"/>
      <c r="AP18" s="77">
        <f t="shared" si="17"/>
        <v>0</v>
      </c>
      <c r="AQ18" s="77">
        <f t="shared" si="18"/>
        <v>0</v>
      </c>
      <c r="AR18" s="77">
        <f t="shared" si="19"/>
        <v>1</v>
      </c>
      <c r="AS18" s="77">
        <f t="shared" si="20"/>
        <v>0</v>
      </c>
      <c r="AT18" s="77">
        <f t="shared" si="21"/>
        <v>0</v>
      </c>
      <c r="AU18" s="77">
        <f t="shared" si="22"/>
        <v>0</v>
      </c>
      <c r="AV18" s="79">
        <f t="shared" si="23"/>
        <v>1</v>
      </c>
      <c r="AW18" s="108"/>
      <c r="AX18" s="75">
        <f t="shared" si="9"/>
        <v>0</v>
      </c>
      <c r="AY18" s="75">
        <f t="shared" si="10"/>
        <v>0</v>
      </c>
      <c r="AZ18" s="75">
        <f t="shared" si="11"/>
        <v>0</v>
      </c>
      <c r="BA18" s="75">
        <f t="shared" si="12"/>
        <v>0</v>
      </c>
      <c r="BB18" s="75">
        <f t="shared" si="13"/>
        <v>0</v>
      </c>
      <c r="BC18" s="75">
        <f t="shared" si="14"/>
        <v>0</v>
      </c>
      <c r="BD18" s="75">
        <f t="shared" si="15"/>
        <v>1</v>
      </c>
      <c r="BF18" s="126"/>
      <c r="BG18" s="42">
        <v>5689</v>
      </c>
      <c r="BH18" s="42">
        <v>1367</v>
      </c>
      <c r="BI18" s="42">
        <v>1356</v>
      </c>
      <c r="BJ18" s="28">
        <v>6667</v>
      </c>
      <c r="BK18" s="89">
        <v>2378</v>
      </c>
      <c r="BL18" s="89">
        <v>2278</v>
      </c>
      <c r="BM18" s="89" t="s">
        <v>289</v>
      </c>
    </row>
    <row r="19" spans="1:65" ht="15" thickBot="1" x14ac:dyDescent="0.3">
      <c r="A19" s="9" t="s">
        <v>118</v>
      </c>
      <c r="B19" s="10" t="s">
        <v>119</v>
      </c>
      <c r="C19" s="10" t="s">
        <v>120</v>
      </c>
      <c r="D19" s="10"/>
      <c r="E19" s="10" t="s">
        <v>121</v>
      </c>
      <c r="F19" s="10"/>
      <c r="G19" s="10">
        <v>1259</v>
      </c>
      <c r="H19" s="10">
        <v>1146</v>
      </c>
      <c r="I19" s="10"/>
      <c r="J19" s="10">
        <v>1888</v>
      </c>
      <c r="K19" s="10">
        <v>2389</v>
      </c>
      <c r="L19" s="10">
        <v>2259</v>
      </c>
      <c r="M19" s="10"/>
      <c r="N19" s="10"/>
      <c r="O19" s="10">
        <v>3579</v>
      </c>
      <c r="P19" s="10">
        <v>3389</v>
      </c>
      <c r="Q19" s="10"/>
      <c r="R19" s="10"/>
      <c r="S19" s="10"/>
      <c r="T19" s="10">
        <v>4566</v>
      </c>
      <c r="U19" s="10"/>
      <c r="V19" s="10"/>
      <c r="W19" s="10"/>
      <c r="X19" s="10">
        <v>5788</v>
      </c>
      <c r="Y19" s="10"/>
      <c r="Z19" s="10"/>
      <c r="AA19" s="10"/>
      <c r="AB19" s="10"/>
      <c r="AC19" s="10"/>
      <c r="AD19" s="10"/>
      <c r="AF19" s="111"/>
      <c r="AG19" s="9" t="s">
        <v>118</v>
      </c>
      <c r="AH19" s="94" t="s">
        <v>119</v>
      </c>
      <c r="AI19" s="10" t="s">
        <v>120</v>
      </c>
      <c r="AJ19" s="10">
        <v>1259</v>
      </c>
      <c r="AK19" s="10">
        <v>1146</v>
      </c>
      <c r="AL19" s="10">
        <v>2259</v>
      </c>
      <c r="AM19" s="10">
        <v>3579</v>
      </c>
      <c r="AN19" s="10">
        <v>3389</v>
      </c>
      <c r="AO19" s="108"/>
      <c r="AP19" s="77">
        <f t="shared" si="17"/>
        <v>0</v>
      </c>
      <c r="AQ19" s="77">
        <f t="shared" si="18"/>
        <v>1</v>
      </c>
      <c r="AR19" s="77">
        <f t="shared" si="19"/>
        <v>0</v>
      </c>
      <c r="AS19" s="77">
        <f t="shared" si="20"/>
        <v>0</v>
      </c>
      <c r="AT19" s="77">
        <f t="shared" si="21"/>
        <v>0</v>
      </c>
      <c r="AU19" s="77">
        <f t="shared" si="22"/>
        <v>0</v>
      </c>
      <c r="AV19" s="79">
        <f t="shared" si="23"/>
        <v>0</v>
      </c>
      <c r="AW19" s="108"/>
      <c r="AX19" s="75">
        <f t="shared" si="9"/>
        <v>0</v>
      </c>
      <c r="AY19" s="75">
        <f t="shared" si="10"/>
        <v>0</v>
      </c>
      <c r="AZ19" s="75">
        <f t="shared" si="11"/>
        <v>0</v>
      </c>
      <c r="BA19" s="75">
        <f t="shared" si="12"/>
        <v>0</v>
      </c>
      <c r="BB19" s="75">
        <f t="shared" si="13"/>
        <v>0</v>
      </c>
      <c r="BC19" s="75">
        <f t="shared" si="14"/>
        <v>0</v>
      </c>
      <c r="BD19" s="75">
        <f t="shared" si="15"/>
        <v>0</v>
      </c>
      <c r="BF19" s="120" t="s">
        <v>122</v>
      </c>
      <c r="BG19" s="20">
        <v>1679</v>
      </c>
      <c r="BH19" s="20" t="s">
        <v>49</v>
      </c>
      <c r="BI19" s="20">
        <v>2356</v>
      </c>
      <c r="BJ19" s="21">
        <v>2489</v>
      </c>
      <c r="BK19" s="22" t="s">
        <v>215</v>
      </c>
      <c r="BL19" s="22">
        <v>7899</v>
      </c>
      <c r="BM19" s="22">
        <v>4567</v>
      </c>
    </row>
    <row r="20" spans="1:65" ht="15" thickBot="1" x14ac:dyDescent="0.3">
      <c r="A20" s="9" t="s">
        <v>123</v>
      </c>
      <c r="B20" s="10" t="s">
        <v>124</v>
      </c>
      <c r="C20" s="10" t="s">
        <v>125</v>
      </c>
      <c r="D20" s="10"/>
      <c r="E20" s="10" t="s">
        <v>126</v>
      </c>
      <c r="F20" s="10"/>
      <c r="G20" s="10">
        <v>1267</v>
      </c>
      <c r="H20" s="10">
        <v>1147</v>
      </c>
      <c r="I20" s="10"/>
      <c r="J20" s="10">
        <v>1999</v>
      </c>
      <c r="K20" s="10">
        <v>2456</v>
      </c>
      <c r="L20" s="10">
        <v>2267</v>
      </c>
      <c r="M20" s="10"/>
      <c r="N20" s="10"/>
      <c r="O20" s="10">
        <v>3589</v>
      </c>
      <c r="P20" s="10">
        <v>3445</v>
      </c>
      <c r="Q20" s="10"/>
      <c r="R20" s="10"/>
      <c r="S20" s="10"/>
      <c r="T20" s="10">
        <v>4577</v>
      </c>
      <c r="U20" s="10"/>
      <c r="V20" s="10"/>
      <c r="W20" s="10"/>
      <c r="X20" s="10">
        <v>5799</v>
      </c>
      <c r="Y20" s="10"/>
      <c r="Z20" s="10"/>
      <c r="AA20" s="10"/>
      <c r="AB20" s="10"/>
      <c r="AC20" s="10"/>
      <c r="AD20" s="10"/>
      <c r="AF20" s="111"/>
      <c r="AG20" s="9" t="s">
        <v>123</v>
      </c>
      <c r="AH20" s="94" t="s">
        <v>124</v>
      </c>
      <c r="AI20" s="10" t="s">
        <v>125</v>
      </c>
      <c r="AJ20" s="10">
        <v>1267</v>
      </c>
      <c r="AK20" s="10">
        <v>1147</v>
      </c>
      <c r="AL20" s="10">
        <v>2267</v>
      </c>
      <c r="AM20" s="10">
        <v>3589</v>
      </c>
      <c r="AN20" s="10">
        <v>3445</v>
      </c>
      <c r="AO20" s="108"/>
      <c r="AP20" s="77">
        <f t="shared" si="17"/>
        <v>0</v>
      </c>
      <c r="AQ20" s="77">
        <f t="shared" si="18"/>
        <v>0</v>
      </c>
      <c r="AR20" s="77">
        <f t="shared" si="19"/>
        <v>0</v>
      </c>
      <c r="AS20" s="77">
        <f t="shared" si="20"/>
        <v>0</v>
      </c>
      <c r="AT20" s="77">
        <f t="shared" si="21"/>
        <v>0</v>
      </c>
      <c r="AU20" s="77">
        <f t="shared" si="22"/>
        <v>0</v>
      </c>
      <c r="AV20" s="79">
        <f t="shared" si="23"/>
        <v>1</v>
      </c>
      <c r="AW20" s="108"/>
      <c r="AX20" s="75">
        <f t="shared" si="9"/>
        <v>0</v>
      </c>
      <c r="AY20" s="75">
        <f t="shared" si="10"/>
        <v>0</v>
      </c>
      <c r="AZ20" s="75">
        <f t="shared" si="11"/>
        <v>0</v>
      </c>
      <c r="BA20" s="75">
        <f t="shared" si="12"/>
        <v>0</v>
      </c>
      <c r="BB20" s="75">
        <f t="shared" si="13"/>
        <v>0</v>
      </c>
      <c r="BC20" s="75">
        <f t="shared" si="14"/>
        <v>0</v>
      </c>
      <c r="BD20" s="75">
        <f t="shared" si="15"/>
        <v>0</v>
      </c>
      <c r="BF20" s="121"/>
      <c r="BG20" s="10">
        <v>5578</v>
      </c>
      <c r="BH20" s="10">
        <v>1356</v>
      </c>
      <c r="BI20" s="10">
        <v>1355</v>
      </c>
      <c r="BJ20" s="11">
        <v>5699</v>
      </c>
      <c r="BK20" s="12">
        <v>3467</v>
      </c>
      <c r="BL20" s="12">
        <v>4579</v>
      </c>
      <c r="BM20" s="12">
        <v>5779</v>
      </c>
    </row>
    <row r="21" spans="1:65" ht="15" thickBot="1" x14ac:dyDescent="0.3">
      <c r="A21" s="9" t="s">
        <v>127</v>
      </c>
      <c r="B21" s="10" t="s">
        <v>128</v>
      </c>
      <c r="C21" s="10" t="s">
        <v>129</v>
      </c>
      <c r="D21" s="10"/>
      <c r="E21" s="10" t="s">
        <v>130</v>
      </c>
      <c r="F21" s="10"/>
      <c r="G21" s="10">
        <v>1268</v>
      </c>
      <c r="H21" s="10">
        <v>1148</v>
      </c>
      <c r="I21" s="10"/>
      <c r="J21" s="10"/>
      <c r="K21" s="10">
        <v>2457</v>
      </c>
      <c r="L21" s="10">
        <v>2268</v>
      </c>
      <c r="M21" s="10"/>
      <c r="N21" s="10"/>
      <c r="O21" s="10">
        <v>3678</v>
      </c>
      <c r="P21" s="10">
        <v>3446</v>
      </c>
      <c r="Q21" s="10"/>
      <c r="R21" s="10"/>
      <c r="S21" s="10"/>
      <c r="T21" s="10">
        <v>4588</v>
      </c>
      <c r="U21" s="10"/>
      <c r="V21" s="10"/>
      <c r="W21" s="10"/>
      <c r="X21" s="10">
        <v>5889</v>
      </c>
      <c r="Y21" s="10"/>
      <c r="Z21" s="10"/>
      <c r="AA21" s="10"/>
      <c r="AB21" s="10"/>
      <c r="AC21" s="10"/>
      <c r="AD21" s="10"/>
      <c r="AF21" s="111"/>
      <c r="AG21" s="9" t="s">
        <v>127</v>
      </c>
      <c r="AH21" s="94" t="s">
        <v>128</v>
      </c>
      <c r="AI21" s="10" t="s">
        <v>129</v>
      </c>
      <c r="AJ21" s="10">
        <v>1268</v>
      </c>
      <c r="AK21" s="10">
        <v>1148</v>
      </c>
      <c r="AL21" s="10">
        <v>2268</v>
      </c>
      <c r="AM21" s="10">
        <v>3678</v>
      </c>
      <c r="AN21" s="10">
        <v>3446</v>
      </c>
      <c r="AO21" s="108"/>
      <c r="AP21" s="77">
        <f t="shared" si="17"/>
        <v>0</v>
      </c>
      <c r="AQ21" s="77">
        <f t="shared" si="18"/>
        <v>0</v>
      </c>
      <c r="AR21" s="77">
        <f t="shared" si="19"/>
        <v>0</v>
      </c>
      <c r="AS21" s="77">
        <f t="shared" si="20"/>
        <v>1</v>
      </c>
      <c r="AT21" s="77">
        <f t="shared" si="21"/>
        <v>0</v>
      </c>
      <c r="AU21" s="77">
        <f t="shared" si="22"/>
        <v>0</v>
      </c>
      <c r="AV21" s="79">
        <f t="shared" si="23"/>
        <v>0</v>
      </c>
      <c r="AW21" s="108"/>
      <c r="AX21" s="75">
        <f t="shared" si="9"/>
        <v>0</v>
      </c>
      <c r="AY21" s="75">
        <f t="shared" si="10"/>
        <v>0</v>
      </c>
      <c r="AZ21" s="75">
        <f t="shared" si="11"/>
        <v>0</v>
      </c>
      <c r="BA21" s="75">
        <f t="shared" si="12"/>
        <v>0</v>
      </c>
      <c r="BB21" s="75">
        <f t="shared" si="13"/>
        <v>0</v>
      </c>
      <c r="BC21" s="75">
        <f t="shared" si="14"/>
        <v>0</v>
      </c>
      <c r="BD21" s="75">
        <f t="shared" si="15"/>
        <v>0</v>
      </c>
      <c r="BF21" s="121"/>
      <c r="BG21" s="10">
        <v>1344</v>
      </c>
      <c r="BH21" s="10" t="s">
        <v>94</v>
      </c>
      <c r="BI21" s="10" t="s">
        <v>106</v>
      </c>
      <c r="BJ21" s="11">
        <v>1356</v>
      </c>
      <c r="BK21" s="12">
        <v>4469</v>
      </c>
      <c r="BL21" s="12">
        <v>1578</v>
      </c>
      <c r="BM21" s="12">
        <v>2458</v>
      </c>
    </row>
    <row r="22" spans="1:65" ht="15" thickBot="1" x14ac:dyDescent="0.3">
      <c r="A22" s="9" t="s">
        <v>131</v>
      </c>
      <c r="B22" s="10" t="s">
        <v>132</v>
      </c>
      <c r="C22" s="10" t="s">
        <v>133</v>
      </c>
      <c r="D22" s="10"/>
      <c r="E22" s="10" t="s">
        <v>134</v>
      </c>
      <c r="F22" s="10"/>
      <c r="G22" s="10">
        <v>1269</v>
      </c>
      <c r="H22" s="10">
        <v>1149</v>
      </c>
      <c r="I22" s="10"/>
      <c r="J22" s="10"/>
      <c r="K22" s="10">
        <v>2458</v>
      </c>
      <c r="L22" s="10">
        <v>2269</v>
      </c>
      <c r="M22" s="10"/>
      <c r="N22" s="10"/>
      <c r="O22" s="10">
        <v>3679</v>
      </c>
      <c r="P22" s="10">
        <v>3447</v>
      </c>
      <c r="Q22" s="10"/>
      <c r="R22" s="10"/>
      <c r="S22" s="10"/>
      <c r="T22" s="10">
        <v>4599</v>
      </c>
      <c r="U22" s="10"/>
      <c r="V22" s="10"/>
      <c r="W22" s="10"/>
      <c r="X22" s="10">
        <v>5899</v>
      </c>
      <c r="Y22" s="10"/>
      <c r="Z22" s="10"/>
      <c r="AA22" s="10"/>
      <c r="AB22" s="10"/>
      <c r="AC22" s="10"/>
      <c r="AD22" s="10"/>
      <c r="AF22" s="111"/>
      <c r="AG22" s="9" t="s">
        <v>131</v>
      </c>
      <c r="AH22" s="94" t="s">
        <v>132</v>
      </c>
      <c r="AI22" s="10" t="s">
        <v>133</v>
      </c>
      <c r="AJ22" s="10">
        <v>1269</v>
      </c>
      <c r="AK22" s="10">
        <v>1149</v>
      </c>
      <c r="AL22" s="10">
        <v>2269</v>
      </c>
      <c r="AM22" s="10">
        <v>3679</v>
      </c>
      <c r="AN22" s="10">
        <v>3447</v>
      </c>
      <c r="AO22" s="108"/>
      <c r="AP22" s="77">
        <f t="shared" si="17"/>
        <v>0</v>
      </c>
      <c r="AQ22" s="77">
        <f t="shared" si="18"/>
        <v>0</v>
      </c>
      <c r="AR22" s="77">
        <f t="shared" si="19"/>
        <v>0</v>
      </c>
      <c r="AS22" s="77">
        <f t="shared" si="20"/>
        <v>0</v>
      </c>
      <c r="AT22" s="77">
        <f t="shared" si="21"/>
        <v>0</v>
      </c>
      <c r="AU22" s="77">
        <f t="shared" si="22"/>
        <v>3</v>
      </c>
      <c r="AV22" s="79">
        <f t="shared" si="23"/>
        <v>0</v>
      </c>
      <c r="AW22" s="108"/>
      <c r="AX22" s="75">
        <f t="shared" si="9"/>
        <v>0</v>
      </c>
      <c r="AY22" s="75">
        <f t="shared" si="10"/>
        <v>0</v>
      </c>
      <c r="AZ22" s="75">
        <f t="shared" si="11"/>
        <v>0</v>
      </c>
      <c r="BA22" s="75">
        <f t="shared" si="12"/>
        <v>0</v>
      </c>
      <c r="BB22" s="75">
        <f t="shared" si="13"/>
        <v>0</v>
      </c>
      <c r="BC22" s="75">
        <f t="shared" si="14"/>
        <v>2</v>
      </c>
      <c r="BD22" s="75">
        <f t="shared" si="15"/>
        <v>0</v>
      </c>
      <c r="BF22" s="121"/>
      <c r="BG22" s="10">
        <v>1457</v>
      </c>
      <c r="BH22" s="10" t="s">
        <v>135</v>
      </c>
      <c r="BI22" s="10">
        <v>3599</v>
      </c>
      <c r="BJ22" s="11">
        <v>1347</v>
      </c>
      <c r="BK22" s="12" t="s">
        <v>88</v>
      </c>
      <c r="BL22" s="12">
        <v>1577</v>
      </c>
      <c r="BM22" s="12" t="s">
        <v>71</v>
      </c>
    </row>
    <row r="23" spans="1:65" ht="15" thickBot="1" x14ac:dyDescent="0.3">
      <c r="A23" s="9" t="s">
        <v>136</v>
      </c>
      <c r="B23" s="10" t="s">
        <v>137</v>
      </c>
      <c r="C23" s="10" t="s">
        <v>138</v>
      </c>
      <c r="D23" s="10"/>
      <c r="E23" s="10">
        <v>7778</v>
      </c>
      <c r="F23" s="10"/>
      <c r="G23" s="10">
        <v>1278</v>
      </c>
      <c r="H23" s="10">
        <v>1156</v>
      </c>
      <c r="I23" s="10"/>
      <c r="J23" s="10"/>
      <c r="K23" s="10">
        <v>2459</v>
      </c>
      <c r="L23" s="10">
        <v>2278</v>
      </c>
      <c r="M23" s="10"/>
      <c r="N23" s="10"/>
      <c r="O23" s="10">
        <v>3689</v>
      </c>
      <c r="P23" s="10">
        <v>3448</v>
      </c>
      <c r="Q23" s="10"/>
      <c r="R23" s="10"/>
      <c r="S23" s="10"/>
      <c r="T23" s="10">
        <v>4667</v>
      </c>
      <c r="U23" s="10"/>
      <c r="V23" s="10"/>
      <c r="W23" s="10"/>
      <c r="X23" s="10"/>
      <c r="Y23" s="10"/>
      <c r="Z23" s="10"/>
      <c r="AA23" s="10"/>
      <c r="AB23" s="10"/>
      <c r="AC23" s="10"/>
      <c r="AD23" s="10"/>
      <c r="AF23" s="111"/>
      <c r="AG23" s="9" t="s">
        <v>136</v>
      </c>
      <c r="AH23" s="94" t="s">
        <v>137</v>
      </c>
      <c r="AI23" s="10" t="s">
        <v>138</v>
      </c>
      <c r="AJ23" s="10">
        <v>1278</v>
      </c>
      <c r="AK23" s="10">
        <v>1156</v>
      </c>
      <c r="AL23" s="10">
        <v>2278</v>
      </c>
      <c r="AM23" s="10">
        <v>3689</v>
      </c>
      <c r="AN23" s="10">
        <v>3448</v>
      </c>
      <c r="AO23" s="108"/>
      <c r="AP23" s="77">
        <f t="shared" si="17"/>
        <v>0</v>
      </c>
      <c r="AQ23" s="77">
        <f t="shared" si="18"/>
        <v>0</v>
      </c>
      <c r="AR23" s="77">
        <f t="shared" si="19"/>
        <v>0</v>
      </c>
      <c r="AS23" s="77">
        <f t="shared" si="20"/>
        <v>0</v>
      </c>
      <c r="AT23" s="77">
        <f t="shared" si="21"/>
        <v>1</v>
      </c>
      <c r="AU23" s="77">
        <f t="shared" si="22"/>
        <v>0</v>
      </c>
      <c r="AV23" s="79">
        <f t="shared" si="23"/>
        <v>0</v>
      </c>
      <c r="AW23" s="108"/>
      <c r="AX23" s="75">
        <f t="shared" si="9"/>
        <v>0</v>
      </c>
      <c r="AY23" s="75">
        <f t="shared" si="10"/>
        <v>0</v>
      </c>
      <c r="AZ23" s="75">
        <f t="shared" si="11"/>
        <v>0</v>
      </c>
      <c r="BA23" s="75">
        <f t="shared" si="12"/>
        <v>0</v>
      </c>
      <c r="BB23" s="75">
        <f t="shared" si="13"/>
        <v>1</v>
      </c>
      <c r="BC23" s="75">
        <f t="shared" si="14"/>
        <v>0</v>
      </c>
      <c r="BD23" s="75">
        <f t="shared" si="15"/>
        <v>0</v>
      </c>
      <c r="BF23" s="121"/>
      <c r="BG23" s="10">
        <v>3568</v>
      </c>
      <c r="BH23" s="10" t="s">
        <v>95</v>
      </c>
      <c r="BI23" s="10" t="s">
        <v>139</v>
      </c>
      <c r="BJ23" s="11">
        <v>1679</v>
      </c>
      <c r="BK23" s="12" t="s">
        <v>135</v>
      </c>
      <c r="BL23" s="12" t="s">
        <v>248</v>
      </c>
      <c r="BM23" s="12">
        <v>5668</v>
      </c>
    </row>
    <row r="24" spans="1:65" ht="15" thickBot="1" x14ac:dyDescent="0.3">
      <c r="A24" s="9" t="s">
        <v>140</v>
      </c>
      <c r="B24" s="10" t="s">
        <v>141</v>
      </c>
      <c r="C24" s="10" t="s">
        <v>142</v>
      </c>
      <c r="D24" s="10"/>
      <c r="E24" s="10">
        <v>7779</v>
      </c>
      <c r="F24" s="10"/>
      <c r="G24" s="10">
        <v>1279</v>
      </c>
      <c r="H24" s="10">
        <v>1157</v>
      </c>
      <c r="I24" s="10"/>
      <c r="J24" s="10"/>
      <c r="K24" s="10">
        <v>2467</v>
      </c>
      <c r="L24" s="10">
        <v>2279</v>
      </c>
      <c r="M24" s="10"/>
      <c r="N24" s="10"/>
      <c r="O24" s="10">
        <v>3789</v>
      </c>
      <c r="P24" s="10">
        <v>3449</v>
      </c>
      <c r="Q24" s="10"/>
      <c r="R24" s="10"/>
      <c r="S24" s="10"/>
      <c r="T24" s="10">
        <v>4668</v>
      </c>
      <c r="U24" s="10"/>
      <c r="V24" s="10"/>
      <c r="W24" s="10"/>
      <c r="X24" s="10"/>
      <c r="Y24" s="10"/>
      <c r="Z24" s="10"/>
      <c r="AA24" s="10"/>
      <c r="AB24" s="10"/>
      <c r="AC24" s="10"/>
      <c r="AD24" s="10"/>
      <c r="AF24" s="111"/>
      <c r="AG24" s="9" t="s">
        <v>140</v>
      </c>
      <c r="AH24" s="94" t="s">
        <v>141</v>
      </c>
      <c r="AI24" s="10" t="s">
        <v>142</v>
      </c>
      <c r="AJ24" s="10">
        <v>1279</v>
      </c>
      <c r="AK24" s="10">
        <v>1157</v>
      </c>
      <c r="AL24" s="10">
        <v>2279</v>
      </c>
      <c r="AM24" s="10">
        <v>3789</v>
      </c>
      <c r="AN24" s="10">
        <v>3449</v>
      </c>
      <c r="AO24" s="108"/>
      <c r="AP24" s="77">
        <f t="shared" si="17"/>
        <v>0</v>
      </c>
      <c r="AQ24" s="77">
        <f t="shared" si="18"/>
        <v>0</v>
      </c>
      <c r="AR24" s="77">
        <f t="shared" si="19"/>
        <v>0</v>
      </c>
      <c r="AS24" s="77">
        <f t="shared" si="20"/>
        <v>0</v>
      </c>
      <c r="AT24" s="77">
        <f t="shared" si="21"/>
        <v>0</v>
      </c>
      <c r="AU24" s="77">
        <f t="shared" si="22"/>
        <v>0</v>
      </c>
      <c r="AV24" s="79">
        <f t="shared" si="23"/>
        <v>0</v>
      </c>
      <c r="AW24" s="108"/>
      <c r="AX24" s="75">
        <f t="shared" si="9"/>
        <v>0</v>
      </c>
      <c r="AY24" s="75">
        <f t="shared" si="10"/>
        <v>0</v>
      </c>
      <c r="AZ24" s="75">
        <f t="shared" si="11"/>
        <v>0</v>
      </c>
      <c r="BA24" s="75">
        <f t="shared" si="12"/>
        <v>0</v>
      </c>
      <c r="BB24" s="75">
        <f t="shared" si="13"/>
        <v>0</v>
      </c>
      <c r="BC24" s="75">
        <f t="shared" si="14"/>
        <v>0</v>
      </c>
      <c r="BD24" s="75">
        <f t="shared" si="15"/>
        <v>0</v>
      </c>
      <c r="BF24" s="121"/>
      <c r="BG24" s="10">
        <v>1137</v>
      </c>
      <c r="BH24" s="10">
        <v>1589</v>
      </c>
      <c r="BI24" s="10" t="s">
        <v>143</v>
      </c>
      <c r="BJ24" s="11">
        <v>1457</v>
      </c>
      <c r="BK24" s="12">
        <v>2356</v>
      </c>
      <c r="BL24" s="12">
        <v>4679</v>
      </c>
      <c r="BM24" s="12">
        <v>5579</v>
      </c>
    </row>
    <row r="25" spans="1:65" ht="15" thickBot="1" x14ac:dyDescent="0.3">
      <c r="A25" s="9" t="s">
        <v>144</v>
      </c>
      <c r="B25" s="10" t="s">
        <v>145</v>
      </c>
      <c r="C25" s="10" t="s">
        <v>139</v>
      </c>
      <c r="D25" s="10"/>
      <c r="E25" s="10">
        <v>7888</v>
      </c>
      <c r="F25" s="10"/>
      <c r="G25" s="10">
        <v>1289</v>
      </c>
      <c r="H25" s="10">
        <v>1158</v>
      </c>
      <c r="I25" s="10"/>
      <c r="J25" s="10"/>
      <c r="K25" s="10">
        <v>2468</v>
      </c>
      <c r="L25" s="10">
        <v>2289</v>
      </c>
      <c r="M25" s="10"/>
      <c r="N25" s="10"/>
      <c r="O25" s="10"/>
      <c r="P25" s="10">
        <v>3455</v>
      </c>
      <c r="Q25" s="10"/>
      <c r="R25" s="10"/>
      <c r="S25" s="10"/>
      <c r="T25" s="10">
        <v>4669</v>
      </c>
      <c r="U25" s="10"/>
      <c r="V25" s="10"/>
      <c r="W25" s="10"/>
      <c r="X25" s="10"/>
      <c r="Y25" s="10"/>
      <c r="Z25" s="10"/>
      <c r="AA25" s="10"/>
      <c r="AB25" s="10"/>
      <c r="AC25" s="10"/>
      <c r="AD25" s="10"/>
      <c r="AF25" s="111"/>
      <c r="AG25" s="9" t="s">
        <v>144</v>
      </c>
      <c r="AH25" s="94" t="s">
        <v>145</v>
      </c>
      <c r="AI25" s="10" t="s">
        <v>139</v>
      </c>
      <c r="AJ25" s="10">
        <v>1289</v>
      </c>
      <c r="AK25" s="10">
        <v>1158</v>
      </c>
      <c r="AL25" s="10">
        <v>2289</v>
      </c>
      <c r="AM25" s="10">
        <v>4567</v>
      </c>
      <c r="AN25" s="10">
        <v>3455</v>
      </c>
      <c r="AO25" s="108"/>
      <c r="AP25" s="77">
        <f t="shared" si="17"/>
        <v>0</v>
      </c>
      <c r="AQ25" s="77">
        <f t="shared" si="18"/>
        <v>1</v>
      </c>
      <c r="AR25" s="77">
        <f t="shared" si="19"/>
        <v>0</v>
      </c>
      <c r="AS25" s="77">
        <f t="shared" si="20"/>
        <v>0</v>
      </c>
      <c r="AT25" s="77">
        <f t="shared" si="21"/>
        <v>0</v>
      </c>
      <c r="AU25" s="77">
        <f t="shared" si="22"/>
        <v>2</v>
      </c>
      <c r="AV25" s="79">
        <f t="shared" ref="AV25:AV56" si="25">COUNTIF($BG$6:$GA$28,AN26)</f>
        <v>0</v>
      </c>
      <c r="AW25" s="108"/>
      <c r="AX25" s="75">
        <f t="shared" si="9"/>
        <v>0</v>
      </c>
      <c r="AY25" s="75">
        <f t="shared" si="10"/>
        <v>0</v>
      </c>
      <c r="AZ25" s="75">
        <f t="shared" si="11"/>
        <v>0</v>
      </c>
      <c r="BA25" s="75">
        <f t="shared" si="12"/>
        <v>0</v>
      </c>
      <c r="BB25" s="75">
        <f t="shared" si="13"/>
        <v>0</v>
      </c>
      <c r="BC25" s="75">
        <f t="shared" si="14"/>
        <v>0</v>
      </c>
      <c r="BD25" s="75">
        <f t="shared" si="15"/>
        <v>1</v>
      </c>
      <c r="BF25" s="121"/>
      <c r="BG25" s="10">
        <v>1335</v>
      </c>
      <c r="BH25" s="10">
        <v>1335</v>
      </c>
      <c r="BI25" s="10">
        <v>1456</v>
      </c>
      <c r="BJ25" s="11">
        <v>3568</v>
      </c>
      <c r="BK25" s="12">
        <v>2355</v>
      </c>
      <c r="BL25" s="12">
        <v>4568</v>
      </c>
      <c r="BM25" s="12">
        <v>3445</v>
      </c>
    </row>
    <row r="26" spans="1:65" ht="15" thickBot="1" x14ac:dyDescent="0.3">
      <c r="A26" s="9" t="s">
        <v>146</v>
      </c>
      <c r="B26" s="10" t="s">
        <v>147</v>
      </c>
      <c r="C26" s="10" t="s">
        <v>148</v>
      </c>
      <c r="D26" s="10"/>
      <c r="E26" s="10">
        <v>7999</v>
      </c>
      <c r="F26" s="10"/>
      <c r="G26" s="10">
        <v>1345</v>
      </c>
      <c r="H26" s="10">
        <v>1159</v>
      </c>
      <c r="I26" s="10"/>
      <c r="J26" s="10"/>
      <c r="K26" s="10">
        <v>2469</v>
      </c>
      <c r="L26" s="10">
        <v>2334</v>
      </c>
      <c r="M26" s="10"/>
      <c r="N26" s="10"/>
      <c r="O26" s="10"/>
      <c r="P26" s="10">
        <v>3466</v>
      </c>
      <c r="Q26" s="10"/>
      <c r="R26" s="10"/>
      <c r="S26" s="10"/>
      <c r="T26" s="10">
        <v>4677</v>
      </c>
      <c r="U26" s="10"/>
      <c r="V26" s="10"/>
      <c r="W26" s="10"/>
      <c r="X26" s="10"/>
      <c r="Y26" s="10"/>
      <c r="Z26" s="10"/>
      <c r="AA26" s="10"/>
      <c r="AB26" s="10"/>
      <c r="AC26" s="10"/>
      <c r="AD26" s="10"/>
      <c r="AF26" s="111"/>
      <c r="AG26" s="9" t="s">
        <v>146</v>
      </c>
      <c r="AH26" s="94" t="s">
        <v>147</v>
      </c>
      <c r="AI26" s="10" t="s">
        <v>148</v>
      </c>
      <c r="AJ26" s="10">
        <v>1345</v>
      </c>
      <c r="AK26" s="10">
        <v>1159</v>
      </c>
      <c r="AL26" s="10">
        <v>2334</v>
      </c>
      <c r="AM26" s="10">
        <v>4568</v>
      </c>
      <c r="AN26" s="10">
        <v>3466</v>
      </c>
      <c r="AO26" s="108"/>
      <c r="AP26" s="77">
        <f t="shared" si="17"/>
        <v>0</v>
      </c>
      <c r="AQ26" s="77">
        <f t="shared" si="18"/>
        <v>0</v>
      </c>
      <c r="AR26" s="77">
        <f t="shared" si="19"/>
        <v>0</v>
      </c>
      <c r="AS26" s="77">
        <f t="shared" si="20"/>
        <v>0</v>
      </c>
      <c r="AT26" s="77">
        <f t="shared" si="21"/>
        <v>0</v>
      </c>
      <c r="AU26" s="77">
        <f t="shared" si="22"/>
        <v>1</v>
      </c>
      <c r="AV26" s="79">
        <f t="shared" si="25"/>
        <v>0</v>
      </c>
      <c r="AW26" s="108"/>
      <c r="AX26" s="75">
        <f t="shared" si="9"/>
        <v>0</v>
      </c>
      <c r="AY26" s="75">
        <f t="shared" si="10"/>
        <v>0</v>
      </c>
      <c r="AZ26" s="75">
        <f t="shared" si="11"/>
        <v>0</v>
      </c>
      <c r="BA26" s="75">
        <f t="shared" si="12"/>
        <v>0</v>
      </c>
      <c r="BB26" s="75">
        <f t="shared" si="13"/>
        <v>0</v>
      </c>
      <c r="BC26" s="75">
        <f t="shared" si="14"/>
        <v>0</v>
      </c>
      <c r="BD26" s="75">
        <f t="shared" si="15"/>
        <v>0</v>
      </c>
      <c r="BF26" s="121"/>
      <c r="BG26" s="10" t="s">
        <v>149</v>
      </c>
      <c r="BH26" s="10">
        <v>1246</v>
      </c>
      <c r="BI26" s="10">
        <v>2448</v>
      </c>
      <c r="BJ26" s="11">
        <v>1335</v>
      </c>
      <c r="BK26" s="12" t="s">
        <v>314</v>
      </c>
      <c r="BL26" s="12">
        <v>6666</v>
      </c>
      <c r="BM26" s="12">
        <v>1455</v>
      </c>
    </row>
    <row r="27" spans="1:65" ht="15" thickBot="1" x14ac:dyDescent="0.3">
      <c r="A27" s="9" t="s">
        <v>150</v>
      </c>
      <c r="B27" s="10" t="s">
        <v>151</v>
      </c>
      <c r="C27" s="10" t="s">
        <v>152</v>
      </c>
      <c r="D27" s="10"/>
      <c r="E27" s="10">
        <v>8889</v>
      </c>
      <c r="F27" s="10"/>
      <c r="G27" s="10">
        <v>1346</v>
      </c>
      <c r="H27" s="10">
        <v>1167</v>
      </c>
      <c r="I27" s="10"/>
      <c r="J27" s="10"/>
      <c r="K27" s="10">
        <v>2478</v>
      </c>
      <c r="L27" s="10">
        <v>2335</v>
      </c>
      <c r="M27" s="10"/>
      <c r="N27" s="10"/>
      <c r="O27" s="10"/>
      <c r="P27" s="10">
        <v>3477</v>
      </c>
      <c r="Q27" s="10"/>
      <c r="R27" s="10"/>
      <c r="S27" s="10"/>
      <c r="T27" s="10">
        <v>4688</v>
      </c>
      <c r="U27" s="10"/>
      <c r="V27" s="10"/>
      <c r="W27" s="10"/>
      <c r="X27" s="10"/>
      <c r="Y27" s="10"/>
      <c r="Z27" s="10"/>
      <c r="AA27" s="10"/>
      <c r="AB27" s="10"/>
      <c r="AC27" s="10"/>
      <c r="AD27" s="10"/>
      <c r="AF27" s="111"/>
      <c r="AG27" s="9" t="s">
        <v>150</v>
      </c>
      <c r="AH27" s="97" t="s">
        <v>151</v>
      </c>
      <c r="AI27" s="10" t="s">
        <v>152</v>
      </c>
      <c r="AJ27" s="10">
        <v>1346</v>
      </c>
      <c r="AK27" s="10">
        <v>1167</v>
      </c>
      <c r="AL27" s="10">
        <v>2335</v>
      </c>
      <c r="AM27" s="10">
        <v>4569</v>
      </c>
      <c r="AN27" s="10">
        <v>3477</v>
      </c>
      <c r="AO27" s="108"/>
      <c r="AP27" s="77">
        <f t="shared" si="17"/>
        <v>0</v>
      </c>
      <c r="AQ27" s="77">
        <f t="shared" si="18"/>
        <v>0</v>
      </c>
      <c r="AR27" s="77">
        <f t="shared" si="19"/>
        <v>0</v>
      </c>
      <c r="AS27" s="77">
        <f t="shared" si="20"/>
        <v>0</v>
      </c>
      <c r="AT27" s="77">
        <f t="shared" si="21"/>
        <v>0</v>
      </c>
      <c r="AU27" s="77">
        <f t="shared" si="22"/>
        <v>0</v>
      </c>
      <c r="AV27" s="79">
        <f t="shared" si="25"/>
        <v>0</v>
      </c>
      <c r="AW27" s="108"/>
      <c r="AX27" s="75">
        <f t="shared" si="9"/>
        <v>0</v>
      </c>
      <c r="AY27" s="75">
        <f t="shared" si="10"/>
        <v>0</v>
      </c>
      <c r="AZ27" s="75">
        <f t="shared" si="11"/>
        <v>0</v>
      </c>
      <c r="BA27" s="75">
        <f t="shared" si="12"/>
        <v>0</v>
      </c>
      <c r="BB27" s="75">
        <f t="shared" si="13"/>
        <v>0</v>
      </c>
      <c r="BC27" s="75">
        <f t="shared" si="14"/>
        <v>0</v>
      </c>
      <c r="BD27" s="75">
        <f t="shared" si="15"/>
        <v>0</v>
      </c>
      <c r="BF27" s="121"/>
      <c r="BG27" s="10">
        <v>1148</v>
      </c>
      <c r="BH27" s="10" t="s">
        <v>153</v>
      </c>
      <c r="BI27" s="10">
        <v>3668</v>
      </c>
      <c r="BJ27" s="11">
        <v>2448</v>
      </c>
      <c r="BK27" s="12">
        <v>1378</v>
      </c>
      <c r="BL27" s="12">
        <v>1258</v>
      </c>
      <c r="BM27" s="12">
        <v>5667</v>
      </c>
    </row>
    <row r="28" spans="1:65" ht="15" thickBot="1" x14ac:dyDescent="0.3">
      <c r="A28" s="9" t="s">
        <v>154</v>
      </c>
      <c r="B28" s="10" t="s">
        <v>155</v>
      </c>
      <c r="C28" s="10" t="s">
        <v>156</v>
      </c>
      <c r="D28" s="10"/>
      <c r="E28" s="10">
        <v>8999</v>
      </c>
      <c r="F28" s="10"/>
      <c r="G28" s="10">
        <v>1347</v>
      </c>
      <c r="H28" s="10">
        <v>1168</v>
      </c>
      <c r="I28" s="10"/>
      <c r="J28" s="10"/>
      <c r="K28" s="10">
        <v>2479</v>
      </c>
      <c r="L28" s="10">
        <v>2336</v>
      </c>
      <c r="M28" s="10"/>
      <c r="N28" s="10"/>
      <c r="O28" s="10"/>
      <c r="P28" s="10">
        <v>3488</v>
      </c>
      <c r="Q28" s="10"/>
      <c r="R28" s="10"/>
      <c r="S28" s="10"/>
      <c r="T28" s="10">
        <v>4699</v>
      </c>
      <c r="U28" s="10"/>
      <c r="V28" s="10"/>
      <c r="W28" s="10"/>
      <c r="X28" s="10"/>
      <c r="Y28" s="10"/>
      <c r="Z28" s="10"/>
      <c r="AA28" s="10"/>
      <c r="AB28" s="10"/>
      <c r="AC28" s="10"/>
      <c r="AD28" s="10"/>
      <c r="AF28" s="112"/>
      <c r="AG28" s="41" t="s">
        <v>154</v>
      </c>
      <c r="AH28" s="95" t="s">
        <v>155</v>
      </c>
      <c r="AI28" s="42" t="s">
        <v>156</v>
      </c>
      <c r="AJ28" s="42">
        <v>1347</v>
      </c>
      <c r="AK28" s="42">
        <v>1168</v>
      </c>
      <c r="AL28" s="42">
        <v>2336</v>
      </c>
      <c r="AM28" s="42">
        <v>4578</v>
      </c>
      <c r="AN28" s="42">
        <v>3488</v>
      </c>
      <c r="AO28" s="109"/>
      <c r="AP28" s="80">
        <f t="shared" si="17"/>
        <v>0</v>
      </c>
      <c r="AQ28" s="80">
        <f t="shared" si="18"/>
        <v>0</v>
      </c>
      <c r="AR28" s="80">
        <f t="shared" si="19"/>
        <v>2</v>
      </c>
      <c r="AS28" s="80">
        <f t="shared" si="20"/>
        <v>0</v>
      </c>
      <c r="AT28" s="80">
        <f t="shared" si="21"/>
        <v>0</v>
      </c>
      <c r="AU28" s="80">
        <f t="shared" si="22"/>
        <v>2</v>
      </c>
      <c r="AV28" s="81">
        <f t="shared" si="25"/>
        <v>0</v>
      </c>
      <c r="AW28" s="109"/>
      <c r="AX28" s="75">
        <f t="shared" si="9"/>
        <v>0</v>
      </c>
      <c r="AY28" s="75">
        <f t="shared" si="10"/>
        <v>0</v>
      </c>
      <c r="AZ28" s="75">
        <f t="shared" si="11"/>
        <v>1</v>
      </c>
      <c r="BA28" s="75">
        <f t="shared" si="12"/>
        <v>0</v>
      </c>
      <c r="BB28" s="75">
        <f t="shared" si="13"/>
        <v>0</v>
      </c>
      <c r="BC28" s="75">
        <f t="shared" si="14"/>
        <v>2</v>
      </c>
      <c r="BD28" s="75">
        <f t="shared" si="15"/>
        <v>0</v>
      </c>
      <c r="BF28" s="122"/>
      <c r="BG28" s="10">
        <v>1277</v>
      </c>
      <c r="BH28" s="10">
        <v>2678</v>
      </c>
      <c r="BI28" s="10" t="s">
        <v>103</v>
      </c>
      <c r="BJ28" s="11" t="s">
        <v>103</v>
      </c>
      <c r="BK28" s="12">
        <v>3358</v>
      </c>
      <c r="BL28" s="12" t="s">
        <v>120</v>
      </c>
      <c r="BM28" s="12">
        <v>1557</v>
      </c>
    </row>
    <row r="29" spans="1:65" ht="15" thickBot="1" x14ac:dyDescent="0.3">
      <c r="A29" s="9" t="s">
        <v>157</v>
      </c>
      <c r="B29" s="10" t="s">
        <v>158</v>
      </c>
      <c r="C29" s="10" t="s">
        <v>159</v>
      </c>
      <c r="D29" s="10"/>
      <c r="E29" s="10"/>
      <c r="F29" s="10"/>
      <c r="G29" s="10">
        <v>1348</v>
      </c>
      <c r="H29" s="10">
        <v>1169</v>
      </c>
      <c r="I29" s="10"/>
      <c r="J29" s="10"/>
      <c r="K29" s="10">
        <v>2489</v>
      </c>
      <c r="L29" s="10">
        <v>2337</v>
      </c>
      <c r="M29" s="10"/>
      <c r="N29" s="10"/>
      <c r="O29" s="10"/>
      <c r="P29" s="10">
        <v>3499</v>
      </c>
      <c r="Q29" s="10"/>
      <c r="R29" s="10"/>
      <c r="S29" s="10"/>
      <c r="T29" s="10">
        <v>4778</v>
      </c>
      <c r="U29" s="10"/>
      <c r="V29" s="10"/>
      <c r="W29" s="10"/>
      <c r="X29" s="10"/>
      <c r="Y29" s="10"/>
      <c r="Z29" s="10"/>
      <c r="AA29" s="10"/>
      <c r="AB29" s="10"/>
      <c r="AC29" s="10"/>
      <c r="AD29" s="10"/>
      <c r="AF29" s="101" t="s">
        <v>436</v>
      </c>
      <c r="AG29" s="39" t="s">
        <v>157</v>
      </c>
      <c r="AH29" s="40" t="s">
        <v>158</v>
      </c>
      <c r="AI29" s="40" t="s">
        <v>159</v>
      </c>
      <c r="AJ29" s="40">
        <v>1348</v>
      </c>
      <c r="AK29" s="93">
        <v>1169</v>
      </c>
      <c r="AL29" s="40">
        <v>2337</v>
      </c>
      <c r="AM29" s="40">
        <v>4579</v>
      </c>
      <c r="AN29" s="40">
        <v>3499</v>
      </c>
      <c r="AO29" s="107">
        <f t="shared" ref="AO29" si="26">SUM(AP29:AV40)</f>
        <v>23</v>
      </c>
      <c r="AP29" s="75">
        <f t="shared" si="17"/>
        <v>0</v>
      </c>
      <c r="AQ29" s="75">
        <f t="shared" si="18"/>
        <v>0</v>
      </c>
      <c r="AR29" s="75">
        <f t="shared" si="19"/>
        <v>0</v>
      </c>
      <c r="AS29" s="75">
        <f t="shared" si="20"/>
        <v>0</v>
      </c>
      <c r="AT29" s="75">
        <f t="shared" si="21"/>
        <v>1</v>
      </c>
      <c r="AU29" s="75">
        <f t="shared" si="22"/>
        <v>1</v>
      </c>
      <c r="AV29" s="76">
        <f t="shared" si="25"/>
        <v>0</v>
      </c>
      <c r="AW29" s="107">
        <f t="shared" ref="AW29" si="27">SUM(AX29:BD40)</f>
        <v>12</v>
      </c>
      <c r="AX29" s="75">
        <f t="shared" si="9"/>
        <v>0</v>
      </c>
      <c r="AY29" s="75">
        <f t="shared" si="10"/>
        <v>0</v>
      </c>
      <c r="AZ29" s="75">
        <f t="shared" si="11"/>
        <v>0</v>
      </c>
      <c r="BA29" s="75">
        <f t="shared" si="12"/>
        <v>0</v>
      </c>
      <c r="BB29" s="75">
        <f t="shared" si="13"/>
        <v>1</v>
      </c>
      <c r="BC29" s="75">
        <f t="shared" si="14"/>
        <v>0</v>
      </c>
      <c r="BD29" s="75">
        <f t="shared" si="15"/>
        <v>0</v>
      </c>
      <c r="BJ29" s="17"/>
      <c r="BK29" s="17"/>
      <c r="BL29" s="17"/>
      <c r="BM29" s="15"/>
    </row>
    <row r="30" spans="1:65" ht="15" thickBot="1" x14ac:dyDescent="0.4">
      <c r="A30" s="9" t="s">
        <v>161</v>
      </c>
      <c r="B30" s="10" t="s">
        <v>162</v>
      </c>
      <c r="C30" s="10" t="s">
        <v>163</v>
      </c>
      <c r="D30" s="10"/>
      <c r="E30" s="10"/>
      <c r="F30" s="10"/>
      <c r="G30" s="10">
        <v>1349</v>
      </c>
      <c r="H30" s="10">
        <v>1178</v>
      </c>
      <c r="I30" s="10"/>
      <c r="J30" s="10"/>
      <c r="K30" s="10">
        <v>2567</v>
      </c>
      <c r="L30" s="10">
        <v>2338</v>
      </c>
      <c r="M30" s="10"/>
      <c r="N30" s="10"/>
      <c r="O30" s="10"/>
      <c r="P30" s="10">
        <v>3556</v>
      </c>
      <c r="Q30" s="10"/>
      <c r="R30" s="10"/>
      <c r="S30" s="10"/>
      <c r="T30" s="10">
        <v>4779</v>
      </c>
      <c r="U30" s="10"/>
      <c r="V30" s="10"/>
      <c r="W30" s="10"/>
      <c r="X30" s="10"/>
      <c r="Y30" s="10"/>
      <c r="Z30" s="10"/>
      <c r="AA30" s="10"/>
      <c r="AB30" s="10"/>
      <c r="AC30" s="10"/>
      <c r="AD30" s="10"/>
      <c r="AF30" s="102"/>
      <c r="AG30" s="9" t="s">
        <v>161</v>
      </c>
      <c r="AH30" s="10" t="s">
        <v>162</v>
      </c>
      <c r="AI30" s="10" t="s">
        <v>163</v>
      </c>
      <c r="AJ30" s="10">
        <v>1349</v>
      </c>
      <c r="AK30" s="94">
        <v>1178</v>
      </c>
      <c r="AL30" s="10">
        <v>2338</v>
      </c>
      <c r="AM30" s="10">
        <v>4589</v>
      </c>
      <c r="AN30" s="10">
        <v>3556</v>
      </c>
      <c r="AO30" s="108"/>
      <c r="AP30" s="77">
        <f t="shared" si="17"/>
        <v>0</v>
      </c>
      <c r="AQ30" s="77">
        <f t="shared" si="18"/>
        <v>0</v>
      </c>
      <c r="AR30" s="77">
        <f t="shared" si="19"/>
        <v>0</v>
      </c>
      <c r="AS30" s="77">
        <f t="shared" si="20"/>
        <v>0</v>
      </c>
      <c r="AT30" s="77">
        <f t="shared" si="21"/>
        <v>0</v>
      </c>
      <c r="AU30" s="77">
        <f t="shared" si="22"/>
        <v>1</v>
      </c>
      <c r="AV30" s="79">
        <f t="shared" si="25"/>
        <v>0</v>
      </c>
      <c r="AW30" s="108"/>
      <c r="AX30" s="75">
        <f t="shared" si="9"/>
        <v>0</v>
      </c>
      <c r="AY30" s="75">
        <f t="shared" si="10"/>
        <v>0</v>
      </c>
      <c r="AZ30" s="75">
        <f t="shared" si="11"/>
        <v>0</v>
      </c>
      <c r="BA30" s="75">
        <f t="shared" si="12"/>
        <v>0</v>
      </c>
      <c r="BB30" s="75">
        <f t="shared" si="13"/>
        <v>0</v>
      </c>
      <c r="BC30" s="75">
        <f t="shared" si="14"/>
        <v>1</v>
      </c>
      <c r="BD30" s="75">
        <f t="shared" si="15"/>
        <v>0</v>
      </c>
    </row>
    <row r="31" spans="1:65" ht="15" thickBot="1" x14ac:dyDescent="0.4">
      <c r="A31" s="9" t="s">
        <v>164</v>
      </c>
      <c r="B31" s="10" t="s">
        <v>153</v>
      </c>
      <c r="C31" s="10" t="s">
        <v>165</v>
      </c>
      <c r="D31" s="10"/>
      <c r="E31" s="10"/>
      <c r="F31" s="10"/>
      <c r="G31" s="10">
        <v>1356</v>
      </c>
      <c r="H31" s="10">
        <v>1179</v>
      </c>
      <c r="I31" s="10"/>
      <c r="J31" s="10"/>
      <c r="K31" s="10">
        <v>2568</v>
      </c>
      <c r="L31" s="10">
        <v>2339</v>
      </c>
      <c r="M31" s="10"/>
      <c r="N31" s="10"/>
      <c r="O31" s="10"/>
      <c r="P31" s="10">
        <v>3557</v>
      </c>
      <c r="Q31" s="10"/>
      <c r="R31" s="10"/>
      <c r="S31" s="10"/>
      <c r="T31" s="10">
        <v>4788</v>
      </c>
      <c r="U31" s="10"/>
      <c r="V31" s="10"/>
      <c r="W31" s="10"/>
      <c r="X31" s="10"/>
      <c r="Y31" s="10"/>
      <c r="Z31" s="10"/>
      <c r="AA31" s="10"/>
      <c r="AB31" s="10"/>
      <c r="AC31" s="10"/>
      <c r="AD31" s="10"/>
      <c r="AF31" s="102"/>
      <c r="AG31" s="9" t="s">
        <v>164</v>
      </c>
      <c r="AH31" s="10" t="s">
        <v>153</v>
      </c>
      <c r="AI31" s="10" t="s">
        <v>165</v>
      </c>
      <c r="AJ31" s="10">
        <v>1356</v>
      </c>
      <c r="AK31" s="94">
        <v>1179</v>
      </c>
      <c r="AL31" s="10">
        <v>2339</v>
      </c>
      <c r="AM31" s="10">
        <v>4678</v>
      </c>
      <c r="AN31" s="10">
        <v>3557</v>
      </c>
      <c r="AO31" s="108"/>
      <c r="AP31" s="77">
        <f t="shared" si="17"/>
        <v>1</v>
      </c>
      <c r="AQ31" s="77">
        <f t="shared" si="18"/>
        <v>0</v>
      </c>
      <c r="AR31" s="77">
        <f t="shared" si="19"/>
        <v>3</v>
      </c>
      <c r="AS31" s="77">
        <f t="shared" si="20"/>
        <v>0</v>
      </c>
      <c r="AT31" s="77">
        <f t="shared" si="21"/>
        <v>0</v>
      </c>
      <c r="AU31" s="77">
        <f t="shared" si="22"/>
        <v>1</v>
      </c>
      <c r="AV31" s="79">
        <f t="shared" si="25"/>
        <v>0</v>
      </c>
      <c r="AW31" s="108"/>
      <c r="AX31" s="75">
        <f t="shared" si="9"/>
        <v>0</v>
      </c>
      <c r="AY31" s="75">
        <f t="shared" si="10"/>
        <v>0</v>
      </c>
      <c r="AZ31" s="75">
        <f t="shared" si="11"/>
        <v>1</v>
      </c>
      <c r="BA31" s="75">
        <f t="shared" si="12"/>
        <v>0</v>
      </c>
      <c r="BB31" s="75">
        <f t="shared" si="13"/>
        <v>0</v>
      </c>
      <c r="BC31" s="75">
        <f t="shared" si="14"/>
        <v>0</v>
      </c>
      <c r="BD31" s="75">
        <f t="shared" si="15"/>
        <v>0</v>
      </c>
      <c r="BG31" s="6" t="s">
        <v>31</v>
      </c>
      <c r="BH31" s="13" t="s">
        <v>166</v>
      </c>
      <c r="BI31" s="3"/>
      <c r="BJ31" s="3"/>
    </row>
    <row r="32" spans="1:65" ht="15" thickBot="1" x14ac:dyDescent="0.4">
      <c r="A32" s="9" t="s">
        <v>167</v>
      </c>
      <c r="B32" s="10" t="s">
        <v>168</v>
      </c>
      <c r="C32" s="10" t="s">
        <v>169</v>
      </c>
      <c r="D32" s="10"/>
      <c r="E32" s="10"/>
      <c r="F32" s="10"/>
      <c r="G32" s="10">
        <v>1357</v>
      </c>
      <c r="H32" s="10">
        <v>1189</v>
      </c>
      <c r="I32" s="10"/>
      <c r="J32" s="10"/>
      <c r="K32" s="10">
        <v>2569</v>
      </c>
      <c r="L32" s="10">
        <v>2344</v>
      </c>
      <c r="M32" s="10"/>
      <c r="N32" s="10"/>
      <c r="O32" s="10"/>
      <c r="P32" s="10">
        <v>3558</v>
      </c>
      <c r="Q32" s="10"/>
      <c r="R32" s="10"/>
      <c r="S32" s="10"/>
      <c r="T32" s="10">
        <v>4799</v>
      </c>
      <c r="U32" s="10"/>
      <c r="V32" s="10"/>
      <c r="W32" s="10"/>
      <c r="X32" s="10"/>
      <c r="Y32" s="10"/>
      <c r="Z32" s="10"/>
      <c r="AA32" s="10"/>
      <c r="AB32" s="10"/>
      <c r="AC32" s="10"/>
      <c r="AD32" s="10"/>
      <c r="AF32" s="102"/>
      <c r="AG32" s="9" t="s">
        <v>167</v>
      </c>
      <c r="AH32" s="10" t="s">
        <v>168</v>
      </c>
      <c r="AI32" s="10" t="s">
        <v>169</v>
      </c>
      <c r="AJ32" s="10">
        <v>1357</v>
      </c>
      <c r="AK32" s="94">
        <v>1189</v>
      </c>
      <c r="AL32" s="10">
        <v>2344</v>
      </c>
      <c r="AM32" s="10">
        <v>4679</v>
      </c>
      <c r="AN32" s="10">
        <v>3558</v>
      </c>
      <c r="AO32" s="108"/>
      <c r="AP32" s="77">
        <f t="shared" si="17"/>
        <v>0</v>
      </c>
      <c r="AQ32" s="77">
        <f t="shared" si="18"/>
        <v>0</v>
      </c>
      <c r="AR32" s="77">
        <f t="shared" si="19"/>
        <v>0</v>
      </c>
      <c r="AS32" s="77">
        <f t="shared" si="20"/>
        <v>0</v>
      </c>
      <c r="AT32" s="77">
        <f t="shared" si="21"/>
        <v>0</v>
      </c>
      <c r="AU32" s="77">
        <f t="shared" si="22"/>
        <v>1</v>
      </c>
      <c r="AV32" s="79">
        <f t="shared" si="25"/>
        <v>0</v>
      </c>
      <c r="AW32" s="108"/>
      <c r="AX32" s="75">
        <f t="shared" si="9"/>
        <v>0</v>
      </c>
      <c r="AY32" s="75">
        <f t="shared" si="10"/>
        <v>0</v>
      </c>
      <c r="AZ32" s="75">
        <f t="shared" si="11"/>
        <v>0</v>
      </c>
      <c r="BA32" s="75">
        <f t="shared" si="12"/>
        <v>0</v>
      </c>
      <c r="BB32" s="75">
        <f t="shared" si="13"/>
        <v>0</v>
      </c>
      <c r="BC32" s="75">
        <f t="shared" si="14"/>
        <v>0</v>
      </c>
      <c r="BD32" s="75">
        <f t="shared" si="15"/>
        <v>0</v>
      </c>
      <c r="BG32" s="6" t="s">
        <v>32</v>
      </c>
      <c r="BH32" s="13" t="s">
        <v>170</v>
      </c>
      <c r="BI32" s="3"/>
      <c r="BJ32" s="3"/>
    </row>
    <row r="33" spans="1:62" ht="15" thickBot="1" x14ac:dyDescent="0.4">
      <c r="A33" s="9" t="s">
        <v>171</v>
      </c>
      <c r="B33" s="10" t="s">
        <v>172</v>
      </c>
      <c r="C33" s="10" t="s">
        <v>173</v>
      </c>
      <c r="D33" s="10"/>
      <c r="E33" s="10"/>
      <c r="F33" s="10"/>
      <c r="G33" s="10">
        <v>1358</v>
      </c>
      <c r="H33" s="10">
        <v>1223</v>
      </c>
      <c r="I33" s="10"/>
      <c r="J33" s="10"/>
      <c r="K33" s="10">
        <v>2578</v>
      </c>
      <c r="L33" s="10">
        <v>2355</v>
      </c>
      <c r="M33" s="10"/>
      <c r="N33" s="10"/>
      <c r="O33" s="10"/>
      <c r="P33" s="10">
        <v>3559</v>
      </c>
      <c r="Q33" s="10"/>
      <c r="R33" s="10"/>
      <c r="S33" s="10"/>
      <c r="T33" s="10">
        <v>4889</v>
      </c>
      <c r="U33" s="10"/>
      <c r="V33" s="10"/>
      <c r="W33" s="10"/>
      <c r="X33" s="10"/>
      <c r="Y33" s="10"/>
      <c r="Z33" s="10"/>
      <c r="AA33" s="10"/>
      <c r="AB33" s="10"/>
      <c r="AC33" s="10"/>
      <c r="AD33" s="10"/>
      <c r="AF33" s="102"/>
      <c r="AG33" s="9" t="s">
        <v>171</v>
      </c>
      <c r="AH33" s="10" t="s">
        <v>172</v>
      </c>
      <c r="AI33" s="10" t="s">
        <v>173</v>
      </c>
      <c r="AJ33" s="10">
        <v>1358</v>
      </c>
      <c r="AK33" s="94">
        <v>1223</v>
      </c>
      <c r="AL33" s="10">
        <v>2355</v>
      </c>
      <c r="AM33" s="10">
        <v>4689</v>
      </c>
      <c r="AN33" s="10">
        <v>3559</v>
      </c>
      <c r="AO33" s="108"/>
      <c r="AP33" s="77">
        <f t="shared" si="17"/>
        <v>0</v>
      </c>
      <c r="AQ33" s="77">
        <f t="shared" si="18"/>
        <v>0</v>
      </c>
      <c r="AR33" s="77">
        <f t="shared" si="19"/>
        <v>0</v>
      </c>
      <c r="AS33" s="77">
        <f t="shared" si="20"/>
        <v>0</v>
      </c>
      <c r="AT33" s="77">
        <f t="shared" si="21"/>
        <v>1</v>
      </c>
      <c r="AU33" s="77">
        <f t="shared" si="22"/>
        <v>0</v>
      </c>
      <c r="AV33" s="79">
        <f t="shared" si="25"/>
        <v>0</v>
      </c>
      <c r="AW33" s="108"/>
      <c r="AX33" s="75">
        <f t="shared" si="9"/>
        <v>0</v>
      </c>
      <c r="AY33" s="75">
        <f t="shared" si="10"/>
        <v>0</v>
      </c>
      <c r="AZ33" s="75">
        <f t="shared" si="11"/>
        <v>0</v>
      </c>
      <c r="BA33" s="75">
        <f t="shared" si="12"/>
        <v>0</v>
      </c>
      <c r="BB33" s="75">
        <f t="shared" si="13"/>
        <v>0</v>
      </c>
      <c r="BC33" s="75">
        <f t="shared" si="14"/>
        <v>0</v>
      </c>
      <c r="BD33" s="75">
        <f t="shared" si="15"/>
        <v>0</v>
      </c>
      <c r="BG33" s="7" t="s">
        <v>33</v>
      </c>
      <c r="BH33" s="13" t="s">
        <v>174</v>
      </c>
      <c r="BI33" s="3"/>
      <c r="BJ33" s="3"/>
    </row>
    <row r="34" spans="1:62" ht="15" thickBot="1" x14ac:dyDescent="0.4">
      <c r="A34" s="9" t="s">
        <v>175</v>
      </c>
      <c r="B34" s="10" t="s">
        <v>176</v>
      </c>
      <c r="C34" s="10" t="s">
        <v>177</v>
      </c>
      <c r="D34" s="10"/>
      <c r="E34" s="10"/>
      <c r="F34" s="10"/>
      <c r="G34" s="10">
        <v>1359</v>
      </c>
      <c r="H34" s="10">
        <v>1224</v>
      </c>
      <c r="I34" s="10"/>
      <c r="J34" s="10"/>
      <c r="K34" s="10">
        <v>2579</v>
      </c>
      <c r="L34" s="10">
        <v>2366</v>
      </c>
      <c r="M34" s="10"/>
      <c r="N34" s="10"/>
      <c r="O34" s="10"/>
      <c r="P34" s="10">
        <v>3566</v>
      </c>
      <c r="Q34" s="10"/>
      <c r="R34" s="10"/>
      <c r="S34" s="10"/>
      <c r="T34" s="10">
        <v>4899</v>
      </c>
      <c r="U34" s="10"/>
      <c r="V34" s="10"/>
      <c r="W34" s="10"/>
      <c r="X34" s="10"/>
      <c r="Y34" s="10"/>
      <c r="Z34" s="10"/>
      <c r="AA34" s="10"/>
      <c r="AB34" s="10"/>
      <c r="AC34" s="10"/>
      <c r="AD34" s="10"/>
      <c r="AF34" s="102"/>
      <c r="AG34" s="9" t="s">
        <v>175</v>
      </c>
      <c r="AH34" s="10" t="s">
        <v>176</v>
      </c>
      <c r="AI34" s="10" t="s">
        <v>177</v>
      </c>
      <c r="AJ34" s="10">
        <v>1359</v>
      </c>
      <c r="AK34" s="94">
        <v>1224</v>
      </c>
      <c r="AL34" s="10">
        <v>2366</v>
      </c>
      <c r="AM34" s="10">
        <v>4789</v>
      </c>
      <c r="AN34" s="10">
        <v>3566</v>
      </c>
      <c r="AO34" s="108"/>
      <c r="AP34" s="77">
        <f t="shared" si="17"/>
        <v>0</v>
      </c>
      <c r="AQ34" s="77">
        <f t="shared" si="18"/>
        <v>0</v>
      </c>
      <c r="AR34" s="77">
        <f t="shared" si="19"/>
        <v>0</v>
      </c>
      <c r="AS34" s="77">
        <f t="shared" si="20"/>
        <v>0</v>
      </c>
      <c r="AT34" s="77">
        <f t="shared" si="21"/>
        <v>0</v>
      </c>
      <c r="AU34" s="77">
        <f t="shared" si="22"/>
        <v>1</v>
      </c>
      <c r="AV34" s="79">
        <f t="shared" si="25"/>
        <v>1</v>
      </c>
      <c r="AW34" s="108"/>
      <c r="AX34" s="75">
        <f t="shared" si="9"/>
        <v>0</v>
      </c>
      <c r="AY34" s="75">
        <f t="shared" si="10"/>
        <v>0</v>
      </c>
      <c r="AZ34" s="75">
        <f t="shared" si="11"/>
        <v>0</v>
      </c>
      <c r="BA34" s="75">
        <f t="shared" si="12"/>
        <v>0</v>
      </c>
      <c r="BB34" s="75">
        <f t="shared" si="13"/>
        <v>0</v>
      </c>
      <c r="BC34" s="75">
        <f t="shared" si="14"/>
        <v>1</v>
      </c>
      <c r="BD34" s="75">
        <f t="shared" si="15"/>
        <v>0</v>
      </c>
      <c r="BG34" s="7" t="s">
        <v>34</v>
      </c>
      <c r="BH34" s="13" t="s">
        <v>178</v>
      </c>
      <c r="BI34" s="3"/>
      <c r="BJ34" s="3"/>
    </row>
    <row r="35" spans="1:62" ht="15" thickBot="1" x14ac:dyDescent="0.4">
      <c r="A35" s="9" t="s">
        <v>179</v>
      </c>
      <c r="B35" s="10" t="s">
        <v>180</v>
      </c>
      <c r="C35" s="10" t="s">
        <v>181</v>
      </c>
      <c r="D35" s="10"/>
      <c r="E35" s="10"/>
      <c r="F35" s="10"/>
      <c r="G35" s="10">
        <v>1366</v>
      </c>
      <c r="H35" s="10">
        <v>1225</v>
      </c>
      <c r="I35" s="10"/>
      <c r="J35" s="10"/>
      <c r="K35" s="10">
        <v>2589</v>
      </c>
      <c r="L35" s="10">
        <v>2377</v>
      </c>
      <c r="M35" s="10"/>
      <c r="N35" s="10"/>
      <c r="O35" s="10"/>
      <c r="P35" s="10">
        <v>3577</v>
      </c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F35" s="102"/>
      <c r="AG35" s="9" t="s">
        <v>179</v>
      </c>
      <c r="AH35" s="10" t="s">
        <v>180</v>
      </c>
      <c r="AI35" s="10" t="s">
        <v>181</v>
      </c>
      <c r="AJ35" s="10">
        <v>1366</v>
      </c>
      <c r="AK35" s="94">
        <v>1225</v>
      </c>
      <c r="AL35" s="10">
        <v>2377</v>
      </c>
      <c r="AM35" s="10">
        <v>5678</v>
      </c>
      <c r="AN35" s="10">
        <v>3577</v>
      </c>
      <c r="AO35" s="108"/>
      <c r="AP35" s="77">
        <f t="shared" si="17"/>
        <v>0</v>
      </c>
      <c r="AQ35" s="77">
        <f t="shared" si="18"/>
        <v>0</v>
      </c>
      <c r="AR35" s="77">
        <f t="shared" si="19"/>
        <v>0</v>
      </c>
      <c r="AS35" s="77">
        <f t="shared" si="20"/>
        <v>0</v>
      </c>
      <c r="AT35" s="77">
        <f t="shared" si="21"/>
        <v>0</v>
      </c>
      <c r="AU35" s="77">
        <f t="shared" si="22"/>
        <v>0</v>
      </c>
      <c r="AV35" s="79">
        <f t="shared" si="25"/>
        <v>0</v>
      </c>
      <c r="AW35" s="108"/>
      <c r="AX35" s="75">
        <f t="shared" si="9"/>
        <v>0</v>
      </c>
      <c r="AY35" s="75">
        <f t="shared" si="10"/>
        <v>0</v>
      </c>
      <c r="AZ35" s="75">
        <f t="shared" si="11"/>
        <v>0</v>
      </c>
      <c r="BA35" s="75">
        <f t="shared" si="12"/>
        <v>0</v>
      </c>
      <c r="BB35" s="75">
        <f t="shared" si="13"/>
        <v>0</v>
      </c>
      <c r="BC35" s="75">
        <f t="shared" si="14"/>
        <v>0</v>
      </c>
      <c r="BD35" s="75">
        <f t="shared" si="15"/>
        <v>1</v>
      </c>
      <c r="BG35" s="7" t="s">
        <v>35</v>
      </c>
      <c r="BH35" s="13" t="s">
        <v>182</v>
      </c>
      <c r="BI35" s="3"/>
      <c r="BJ35" s="3"/>
    </row>
    <row r="36" spans="1:62" ht="15" thickBot="1" x14ac:dyDescent="0.4">
      <c r="A36" s="9" t="s">
        <v>183</v>
      </c>
      <c r="B36" s="10" t="s">
        <v>184</v>
      </c>
      <c r="C36" s="10" t="s">
        <v>185</v>
      </c>
      <c r="D36" s="10"/>
      <c r="E36" s="10"/>
      <c r="F36" s="10"/>
      <c r="G36" s="10">
        <v>1367</v>
      </c>
      <c r="H36" s="10">
        <v>1226</v>
      </c>
      <c r="I36" s="10"/>
      <c r="J36" s="10"/>
      <c r="K36" s="10">
        <v>2678</v>
      </c>
      <c r="L36" s="10">
        <v>2388</v>
      </c>
      <c r="M36" s="10"/>
      <c r="N36" s="10"/>
      <c r="O36" s="10"/>
      <c r="P36" s="10">
        <v>3588</v>
      </c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F36" s="102"/>
      <c r="AG36" s="9" t="s">
        <v>183</v>
      </c>
      <c r="AH36" s="10" t="s">
        <v>184</v>
      </c>
      <c r="AI36" s="10" t="s">
        <v>185</v>
      </c>
      <c r="AJ36" s="10">
        <v>1367</v>
      </c>
      <c r="AK36" s="94">
        <v>1226</v>
      </c>
      <c r="AL36" s="10">
        <v>2388</v>
      </c>
      <c r="AM36" s="10">
        <v>5679</v>
      </c>
      <c r="AN36" s="10">
        <v>3588</v>
      </c>
      <c r="AO36" s="108"/>
      <c r="AP36" s="77">
        <f t="shared" si="17"/>
        <v>0</v>
      </c>
      <c r="AQ36" s="77">
        <f t="shared" si="18"/>
        <v>0</v>
      </c>
      <c r="AR36" s="77">
        <f t="shared" si="19"/>
        <v>1</v>
      </c>
      <c r="AS36" s="77">
        <f t="shared" si="20"/>
        <v>0</v>
      </c>
      <c r="AT36" s="77">
        <f t="shared" si="21"/>
        <v>0</v>
      </c>
      <c r="AU36" s="77">
        <f t="shared" si="22"/>
        <v>0</v>
      </c>
      <c r="AV36" s="79">
        <f t="shared" si="25"/>
        <v>1</v>
      </c>
      <c r="AW36" s="108"/>
      <c r="AX36" s="75">
        <f t="shared" si="9"/>
        <v>0</v>
      </c>
      <c r="AY36" s="75">
        <f t="shared" si="10"/>
        <v>0</v>
      </c>
      <c r="AZ36" s="75">
        <f t="shared" si="11"/>
        <v>1</v>
      </c>
      <c r="BA36" s="75">
        <f t="shared" si="12"/>
        <v>0</v>
      </c>
      <c r="BB36" s="75">
        <f t="shared" si="13"/>
        <v>0</v>
      </c>
      <c r="BC36" s="75">
        <f t="shared" si="14"/>
        <v>0</v>
      </c>
      <c r="BD36" s="75">
        <f t="shared" si="15"/>
        <v>0</v>
      </c>
    </row>
    <row r="37" spans="1:62" ht="15" thickBot="1" x14ac:dyDescent="0.4">
      <c r="A37" s="9" t="s">
        <v>186</v>
      </c>
      <c r="B37" s="10" t="s">
        <v>187</v>
      </c>
      <c r="C37" s="10" t="s">
        <v>188</v>
      </c>
      <c r="D37" s="10"/>
      <c r="E37" s="10"/>
      <c r="F37" s="10"/>
      <c r="G37" s="10">
        <v>1368</v>
      </c>
      <c r="H37" s="10">
        <v>1227</v>
      </c>
      <c r="I37" s="10"/>
      <c r="J37" s="10"/>
      <c r="K37" s="10">
        <v>2679</v>
      </c>
      <c r="L37" s="10">
        <v>2399</v>
      </c>
      <c r="M37" s="10"/>
      <c r="N37" s="10"/>
      <c r="O37" s="10"/>
      <c r="P37" s="10">
        <v>3599</v>
      </c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F37" s="102"/>
      <c r="AG37" s="9" t="s">
        <v>186</v>
      </c>
      <c r="AH37" s="10" t="s">
        <v>187</v>
      </c>
      <c r="AI37" s="10" t="s">
        <v>188</v>
      </c>
      <c r="AJ37" s="10">
        <v>1368</v>
      </c>
      <c r="AK37" s="94">
        <v>1227</v>
      </c>
      <c r="AL37" s="10">
        <v>2399</v>
      </c>
      <c r="AM37" s="10">
        <v>5689</v>
      </c>
      <c r="AN37" s="10">
        <v>3599</v>
      </c>
      <c r="AO37" s="108"/>
      <c r="AP37" s="77">
        <f t="shared" si="17"/>
        <v>0</v>
      </c>
      <c r="AQ37" s="77">
        <f t="shared" si="18"/>
        <v>0</v>
      </c>
      <c r="AR37" s="77">
        <f t="shared" si="19"/>
        <v>0</v>
      </c>
      <c r="AS37" s="77">
        <f t="shared" si="20"/>
        <v>0</v>
      </c>
      <c r="AT37" s="77">
        <f t="shared" si="21"/>
        <v>0</v>
      </c>
      <c r="AU37" s="77">
        <f t="shared" si="22"/>
        <v>1</v>
      </c>
      <c r="AV37" s="79">
        <f t="shared" si="25"/>
        <v>1</v>
      </c>
      <c r="AW37" s="108"/>
      <c r="AX37" s="75">
        <f t="shared" si="9"/>
        <v>0</v>
      </c>
      <c r="AY37" s="75">
        <f t="shared" si="10"/>
        <v>0</v>
      </c>
      <c r="AZ37" s="75">
        <f t="shared" si="11"/>
        <v>0</v>
      </c>
      <c r="BA37" s="75">
        <f t="shared" si="12"/>
        <v>0</v>
      </c>
      <c r="BB37" s="75">
        <f t="shared" si="13"/>
        <v>0</v>
      </c>
      <c r="BC37" s="75">
        <f t="shared" si="14"/>
        <v>1</v>
      </c>
      <c r="BD37" s="75">
        <f t="shared" si="15"/>
        <v>0</v>
      </c>
    </row>
    <row r="38" spans="1:62" ht="15" thickBot="1" x14ac:dyDescent="0.4">
      <c r="A38" s="9" t="s">
        <v>189</v>
      </c>
      <c r="B38" s="10" t="s">
        <v>190</v>
      </c>
      <c r="C38" s="10" t="s">
        <v>191</v>
      </c>
      <c r="D38" s="10"/>
      <c r="E38" s="10"/>
      <c r="F38" s="10"/>
      <c r="G38" s="10">
        <v>1369</v>
      </c>
      <c r="H38" s="10">
        <v>1228</v>
      </c>
      <c r="I38" s="10"/>
      <c r="J38" s="10"/>
      <c r="K38" s="10">
        <v>2689</v>
      </c>
      <c r="L38" s="10">
        <v>2445</v>
      </c>
      <c r="M38" s="10"/>
      <c r="N38" s="10"/>
      <c r="O38" s="10"/>
      <c r="P38" s="10">
        <v>3667</v>
      </c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F38" s="102"/>
      <c r="AG38" s="9" t="s">
        <v>189</v>
      </c>
      <c r="AH38" s="10" t="s">
        <v>190</v>
      </c>
      <c r="AI38" s="10" t="s">
        <v>191</v>
      </c>
      <c r="AJ38" s="10">
        <v>1369</v>
      </c>
      <c r="AK38" s="94">
        <v>1228</v>
      </c>
      <c r="AL38" s="10">
        <v>2445</v>
      </c>
      <c r="AM38" s="10">
        <v>5789</v>
      </c>
      <c r="AN38" s="10">
        <v>3667</v>
      </c>
      <c r="AO38" s="108"/>
      <c r="AP38" s="77">
        <f t="shared" si="17"/>
        <v>0</v>
      </c>
      <c r="AQ38" s="77">
        <f t="shared" si="18"/>
        <v>0</v>
      </c>
      <c r="AR38" s="77">
        <f t="shared" si="19"/>
        <v>0</v>
      </c>
      <c r="AS38" s="77">
        <f t="shared" si="20"/>
        <v>0</v>
      </c>
      <c r="AT38" s="77">
        <f t="shared" si="21"/>
        <v>0</v>
      </c>
      <c r="AU38" s="77">
        <f t="shared" si="22"/>
        <v>1</v>
      </c>
      <c r="AV38" s="79">
        <f t="shared" si="25"/>
        <v>1</v>
      </c>
      <c r="AW38" s="108"/>
      <c r="AX38" s="75">
        <f t="shared" si="9"/>
        <v>0</v>
      </c>
      <c r="AY38" s="75">
        <f t="shared" si="10"/>
        <v>0</v>
      </c>
      <c r="AZ38" s="75">
        <f t="shared" si="11"/>
        <v>0</v>
      </c>
      <c r="BA38" s="75">
        <f t="shared" si="12"/>
        <v>0</v>
      </c>
      <c r="BB38" s="75">
        <f t="shared" si="13"/>
        <v>0</v>
      </c>
      <c r="BC38" s="75">
        <f t="shared" si="14"/>
        <v>1</v>
      </c>
      <c r="BD38" s="75">
        <f t="shared" si="15"/>
        <v>1</v>
      </c>
    </row>
    <row r="39" spans="1:62" ht="15" thickBot="1" x14ac:dyDescent="0.4">
      <c r="A39" s="9" t="s">
        <v>192</v>
      </c>
      <c r="B39" s="10" t="s">
        <v>143</v>
      </c>
      <c r="C39" s="10" t="s">
        <v>193</v>
      </c>
      <c r="D39" s="10"/>
      <c r="E39" s="10"/>
      <c r="F39" s="10"/>
      <c r="G39" s="10">
        <v>1378</v>
      </c>
      <c r="H39" s="10">
        <v>1229</v>
      </c>
      <c r="I39" s="10"/>
      <c r="J39" s="10"/>
      <c r="K39" s="10">
        <v>2789</v>
      </c>
      <c r="L39" s="10">
        <v>2446</v>
      </c>
      <c r="M39" s="10"/>
      <c r="N39" s="10"/>
      <c r="O39" s="10"/>
      <c r="P39" s="10">
        <v>3668</v>
      </c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F39" s="102"/>
      <c r="AG39" s="9" t="s">
        <v>192</v>
      </c>
      <c r="AH39" s="10" t="s">
        <v>143</v>
      </c>
      <c r="AI39" s="10" t="s">
        <v>193</v>
      </c>
      <c r="AJ39" s="10">
        <v>1378</v>
      </c>
      <c r="AK39" s="94">
        <v>1229</v>
      </c>
      <c r="AL39" s="10">
        <v>2446</v>
      </c>
      <c r="AM39" s="10">
        <v>6789</v>
      </c>
      <c r="AN39" s="10">
        <v>3668</v>
      </c>
      <c r="AO39" s="108"/>
      <c r="AP39" s="77">
        <f t="shared" si="17"/>
        <v>1</v>
      </c>
      <c r="AQ39" s="77">
        <f t="shared" si="18"/>
        <v>0</v>
      </c>
      <c r="AR39" s="77">
        <f t="shared" si="19"/>
        <v>1</v>
      </c>
      <c r="AS39" s="77">
        <f t="shared" si="20"/>
        <v>0</v>
      </c>
      <c r="AT39" s="77">
        <f t="shared" si="21"/>
        <v>2</v>
      </c>
      <c r="AU39" s="77">
        <f t="shared" si="22"/>
        <v>0</v>
      </c>
      <c r="AV39" s="79">
        <f t="shared" si="25"/>
        <v>0</v>
      </c>
      <c r="AW39" s="108"/>
      <c r="AX39" s="75">
        <f t="shared" si="9"/>
        <v>0</v>
      </c>
      <c r="AY39" s="75">
        <f t="shared" si="10"/>
        <v>0</v>
      </c>
      <c r="AZ39" s="75">
        <f t="shared" si="11"/>
        <v>0</v>
      </c>
      <c r="BA39" s="75">
        <f t="shared" si="12"/>
        <v>0</v>
      </c>
      <c r="BB39" s="75">
        <f t="shared" si="13"/>
        <v>2</v>
      </c>
      <c r="BC39" s="75">
        <f t="shared" si="14"/>
        <v>0</v>
      </c>
      <c r="BD39" s="75">
        <f t="shared" si="15"/>
        <v>0</v>
      </c>
    </row>
    <row r="40" spans="1:62" ht="15" thickBot="1" x14ac:dyDescent="0.4">
      <c r="A40" s="9" t="s">
        <v>194</v>
      </c>
      <c r="B40" s="10" t="s">
        <v>195</v>
      </c>
      <c r="C40" s="10" t="s">
        <v>196</v>
      </c>
      <c r="D40" s="10"/>
      <c r="E40" s="10"/>
      <c r="F40" s="10"/>
      <c r="G40" s="10">
        <v>1379</v>
      </c>
      <c r="H40" s="10">
        <v>1233</v>
      </c>
      <c r="I40" s="10"/>
      <c r="J40" s="10"/>
      <c r="K40" s="10"/>
      <c r="L40" s="10">
        <v>2447</v>
      </c>
      <c r="M40" s="10"/>
      <c r="N40" s="10"/>
      <c r="O40" s="10"/>
      <c r="P40" s="10">
        <v>3669</v>
      </c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F40" s="103"/>
      <c r="AG40" s="41" t="s">
        <v>194</v>
      </c>
      <c r="AH40" s="42" t="s">
        <v>195</v>
      </c>
      <c r="AI40" s="42" t="s">
        <v>196</v>
      </c>
      <c r="AJ40" s="42">
        <v>1379</v>
      </c>
      <c r="AK40" s="95">
        <v>1233</v>
      </c>
      <c r="AL40" s="42">
        <v>2447</v>
      </c>
      <c r="AM40" s="42"/>
      <c r="AN40" s="42">
        <v>3669</v>
      </c>
      <c r="AO40" s="109"/>
      <c r="AP40" s="80">
        <f t="shared" si="17"/>
        <v>1</v>
      </c>
      <c r="AQ40" s="80">
        <f t="shared" si="18"/>
        <v>0</v>
      </c>
      <c r="AR40" s="80">
        <f t="shared" si="19"/>
        <v>0</v>
      </c>
      <c r="AS40" s="80">
        <f t="shared" si="20"/>
        <v>0</v>
      </c>
      <c r="AT40" s="80">
        <f t="shared" si="21"/>
        <v>0</v>
      </c>
      <c r="AU40" s="80">
        <f t="shared" si="22"/>
        <v>0</v>
      </c>
      <c r="AV40" s="81">
        <f t="shared" si="25"/>
        <v>0</v>
      </c>
      <c r="AW40" s="109"/>
      <c r="AX40" s="75">
        <f t="shared" si="9"/>
        <v>1</v>
      </c>
      <c r="AY40" s="75">
        <f t="shared" si="10"/>
        <v>0</v>
      </c>
      <c r="AZ40" s="75">
        <f t="shared" si="11"/>
        <v>0</v>
      </c>
      <c r="BA40" s="75">
        <f t="shared" si="12"/>
        <v>0</v>
      </c>
      <c r="BB40" s="75">
        <f t="shared" si="13"/>
        <v>0</v>
      </c>
      <c r="BC40" s="75">
        <f t="shared" si="14"/>
        <v>0</v>
      </c>
      <c r="BD40" s="75">
        <f t="shared" si="15"/>
        <v>0</v>
      </c>
    </row>
    <row r="41" spans="1:62" ht="15" thickBot="1" x14ac:dyDescent="0.4">
      <c r="A41" s="9" t="s">
        <v>197</v>
      </c>
      <c r="B41" s="10" t="s">
        <v>198</v>
      </c>
      <c r="C41" s="10" t="s">
        <v>199</v>
      </c>
      <c r="D41" s="10"/>
      <c r="E41" s="10"/>
      <c r="F41" s="10"/>
      <c r="G41" s="10">
        <v>1389</v>
      </c>
      <c r="H41" s="10">
        <v>1244</v>
      </c>
      <c r="I41" s="10"/>
      <c r="J41" s="10"/>
      <c r="K41" s="10"/>
      <c r="L41" s="10">
        <v>2448</v>
      </c>
      <c r="M41" s="10"/>
      <c r="N41" s="10"/>
      <c r="O41" s="10"/>
      <c r="P41" s="10">
        <v>3677</v>
      </c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F41" s="101" t="s">
        <v>437</v>
      </c>
      <c r="AG41" s="39" t="s">
        <v>197</v>
      </c>
      <c r="AH41" s="40" t="s">
        <v>198</v>
      </c>
      <c r="AI41" s="40" t="s">
        <v>199</v>
      </c>
      <c r="AJ41" s="40">
        <v>1389</v>
      </c>
      <c r="AK41" s="40">
        <v>1244</v>
      </c>
      <c r="AL41" s="40">
        <v>2448</v>
      </c>
      <c r="AM41" s="40"/>
      <c r="AN41" s="40">
        <v>3677</v>
      </c>
      <c r="AO41" s="107">
        <f t="shared" ref="AO41" si="28">SUM(AP41:AV52)</f>
        <v>22</v>
      </c>
      <c r="AP41" s="75">
        <f t="shared" si="17"/>
        <v>0</v>
      </c>
      <c r="AQ41" s="75">
        <f t="shared" si="18"/>
        <v>0</v>
      </c>
      <c r="AR41" s="75">
        <f t="shared" si="19"/>
        <v>0</v>
      </c>
      <c r="AS41" s="75">
        <f t="shared" si="20"/>
        <v>0</v>
      </c>
      <c r="AT41" s="75">
        <f t="shared" si="21"/>
        <v>2</v>
      </c>
      <c r="AU41" s="75">
        <f t="shared" si="22"/>
        <v>0</v>
      </c>
      <c r="AV41" s="76">
        <f t="shared" si="25"/>
        <v>0</v>
      </c>
      <c r="AW41" s="107">
        <f t="shared" ref="AW41" si="29">SUM(AX41:BD52)</f>
        <v>8</v>
      </c>
      <c r="AX41" s="75">
        <f t="shared" si="9"/>
        <v>0</v>
      </c>
      <c r="AY41" s="75">
        <f t="shared" si="10"/>
        <v>0</v>
      </c>
      <c r="AZ41" s="75">
        <f t="shared" si="11"/>
        <v>0</v>
      </c>
      <c r="BA41" s="75">
        <f t="shared" si="12"/>
        <v>0</v>
      </c>
      <c r="BB41" s="75">
        <f t="shared" si="13"/>
        <v>0</v>
      </c>
      <c r="BC41" s="75">
        <f t="shared" si="14"/>
        <v>0</v>
      </c>
      <c r="BD41" s="75">
        <f t="shared" si="15"/>
        <v>0</v>
      </c>
    </row>
    <row r="42" spans="1:62" ht="15" thickBot="1" x14ac:dyDescent="0.4">
      <c r="A42" s="9" t="s">
        <v>200</v>
      </c>
      <c r="B42" s="10" t="s">
        <v>201</v>
      </c>
      <c r="C42" s="10" t="s">
        <v>202</v>
      </c>
      <c r="D42" s="10"/>
      <c r="E42" s="10"/>
      <c r="F42" s="10"/>
      <c r="G42" s="10">
        <v>1456</v>
      </c>
      <c r="H42" s="10">
        <v>1255</v>
      </c>
      <c r="I42" s="10"/>
      <c r="J42" s="10"/>
      <c r="K42" s="10"/>
      <c r="L42" s="10">
        <v>2449</v>
      </c>
      <c r="M42" s="10"/>
      <c r="N42" s="10"/>
      <c r="O42" s="10"/>
      <c r="P42" s="10">
        <v>3688</v>
      </c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F42" s="102"/>
      <c r="AG42" s="9" t="s">
        <v>200</v>
      </c>
      <c r="AH42" s="10" t="s">
        <v>201</v>
      </c>
      <c r="AI42" s="10" t="s">
        <v>202</v>
      </c>
      <c r="AJ42" s="10">
        <v>1456</v>
      </c>
      <c r="AK42" s="10">
        <v>1255</v>
      </c>
      <c r="AL42" s="10">
        <v>2449</v>
      </c>
      <c r="AM42" s="10"/>
      <c r="AN42" s="10">
        <v>3688</v>
      </c>
      <c r="AO42" s="108"/>
      <c r="AP42" s="77">
        <f t="shared" si="17"/>
        <v>0</v>
      </c>
      <c r="AQ42" s="77">
        <f t="shared" si="18"/>
        <v>0</v>
      </c>
      <c r="AR42" s="77">
        <f t="shared" si="19"/>
        <v>1</v>
      </c>
      <c r="AS42" s="77">
        <f t="shared" si="20"/>
        <v>0</v>
      </c>
      <c r="AT42" s="77">
        <f t="shared" si="21"/>
        <v>0</v>
      </c>
      <c r="AU42" s="77">
        <f t="shared" si="22"/>
        <v>0</v>
      </c>
      <c r="AV42" s="79">
        <f t="shared" si="25"/>
        <v>0</v>
      </c>
      <c r="AW42" s="108"/>
      <c r="AX42" s="75">
        <f t="shared" si="9"/>
        <v>0</v>
      </c>
      <c r="AY42" s="75">
        <f t="shared" si="10"/>
        <v>0</v>
      </c>
      <c r="AZ42" s="75">
        <f t="shared" si="11"/>
        <v>0</v>
      </c>
      <c r="BA42" s="75">
        <f t="shared" si="12"/>
        <v>0</v>
      </c>
      <c r="BB42" s="75">
        <f t="shared" si="13"/>
        <v>0</v>
      </c>
      <c r="BC42" s="75">
        <f t="shared" si="14"/>
        <v>0</v>
      </c>
      <c r="BD42" s="75">
        <f t="shared" si="15"/>
        <v>0</v>
      </c>
    </row>
    <row r="43" spans="1:62" ht="15" thickBot="1" x14ac:dyDescent="0.4">
      <c r="A43" s="9" t="s">
        <v>203</v>
      </c>
      <c r="B43" s="10" t="s">
        <v>103</v>
      </c>
      <c r="C43" s="10" t="s">
        <v>204</v>
      </c>
      <c r="D43" s="10"/>
      <c r="E43" s="10"/>
      <c r="F43" s="10"/>
      <c r="G43" s="10">
        <v>1457</v>
      </c>
      <c r="H43" s="10">
        <v>1266</v>
      </c>
      <c r="I43" s="10"/>
      <c r="J43" s="10"/>
      <c r="K43" s="10"/>
      <c r="L43" s="10">
        <v>2455</v>
      </c>
      <c r="M43" s="10"/>
      <c r="N43" s="10"/>
      <c r="O43" s="10"/>
      <c r="P43" s="10">
        <v>3699</v>
      </c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F43" s="102"/>
      <c r="AG43" s="9" t="s">
        <v>203</v>
      </c>
      <c r="AH43" s="10" t="s">
        <v>103</v>
      </c>
      <c r="AI43" s="10" t="s">
        <v>204</v>
      </c>
      <c r="AJ43" s="10">
        <v>1457</v>
      </c>
      <c r="AK43" s="10">
        <v>1266</v>
      </c>
      <c r="AL43" s="10">
        <v>2455</v>
      </c>
      <c r="AM43" s="10"/>
      <c r="AN43" s="10">
        <v>3699</v>
      </c>
      <c r="AO43" s="108"/>
      <c r="AP43" s="77">
        <f t="shared" si="17"/>
        <v>2</v>
      </c>
      <c r="AQ43" s="77">
        <f t="shared" si="18"/>
        <v>0</v>
      </c>
      <c r="AR43" s="77">
        <f t="shared" si="19"/>
        <v>2</v>
      </c>
      <c r="AS43" s="77">
        <f t="shared" si="20"/>
        <v>0</v>
      </c>
      <c r="AT43" s="77">
        <f t="shared" si="21"/>
        <v>0</v>
      </c>
      <c r="AU43" s="77">
        <f t="shared" si="22"/>
        <v>0</v>
      </c>
      <c r="AV43" s="79">
        <f t="shared" si="25"/>
        <v>0</v>
      </c>
      <c r="AW43" s="108"/>
      <c r="AX43" s="75">
        <f t="shared" si="9"/>
        <v>0</v>
      </c>
      <c r="AY43" s="75">
        <f t="shared" si="10"/>
        <v>0</v>
      </c>
      <c r="AZ43" s="75">
        <f t="shared" si="11"/>
        <v>0</v>
      </c>
      <c r="BA43" s="75">
        <f t="shared" si="12"/>
        <v>0</v>
      </c>
      <c r="BB43" s="75">
        <f t="shared" si="13"/>
        <v>0</v>
      </c>
      <c r="BC43" s="75">
        <f t="shared" si="14"/>
        <v>0</v>
      </c>
      <c r="BD43" s="75">
        <f t="shared" si="15"/>
        <v>0</v>
      </c>
    </row>
    <row r="44" spans="1:62" ht="15" thickBot="1" x14ac:dyDescent="0.4">
      <c r="A44" s="9" t="s">
        <v>205</v>
      </c>
      <c r="B44" s="10" t="s">
        <v>206</v>
      </c>
      <c r="C44" s="10" t="s">
        <v>207</v>
      </c>
      <c r="D44" s="10"/>
      <c r="E44" s="10"/>
      <c r="F44" s="10"/>
      <c r="G44" s="10">
        <v>1458</v>
      </c>
      <c r="H44" s="10">
        <v>1277</v>
      </c>
      <c r="I44" s="10"/>
      <c r="J44" s="10"/>
      <c r="K44" s="10"/>
      <c r="L44" s="10">
        <v>2466</v>
      </c>
      <c r="M44" s="10"/>
      <c r="N44" s="10"/>
      <c r="O44" s="10"/>
      <c r="P44" s="10">
        <v>3778</v>
      </c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F44" s="102"/>
      <c r="AG44" s="9" t="s">
        <v>205</v>
      </c>
      <c r="AH44" s="10" t="s">
        <v>206</v>
      </c>
      <c r="AI44" s="10" t="s">
        <v>207</v>
      </c>
      <c r="AJ44" s="10">
        <v>1458</v>
      </c>
      <c r="AK44" s="10">
        <v>1277</v>
      </c>
      <c r="AL44" s="10">
        <v>2466</v>
      </c>
      <c r="AM44" s="10"/>
      <c r="AN44" s="10">
        <v>3778</v>
      </c>
      <c r="AO44" s="108"/>
      <c r="AP44" s="77">
        <f t="shared" si="17"/>
        <v>0</v>
      </c>
      <c r="AQ44" s="77">
        <f t="shared" si="18"/>
        <v>0</v>
      </c>
      <c r="AR44" s="77">
        <f t="shared" si="19"/>
        <v>0</v>
      </c>
      <c r="AS44" s="77">
        <f t="shared" si="20"/>
        <v>1</v>
      </c>
      <c r="AT44" s="77">
        <f t="shared" si="21"/>
        <v>0</v>
      </c>
      <c r="AU44" s="77">
        <f t="shared" si="22"/>
        <v>0</v>
      </c>
      <c r="AV44" s="79">
        <f t="shared" si="25"/>
        <v>0</v>
      </c>
      <c r="AW44" s="108"/>
      <c r="AX44" s="75">
        <f t="shared" si="9"/>
        <v>0</v>
      </c>
      <c r="AY44" s="75">
        <f t="shared" si="10"/>
        <v>0</v>
      </c>
      <c r="AZ44" s="75">
        <f t="shared" si="11"/>
        <v>0</v>
      </c>
      <c r="BA44" s="75">
        <f t="shared" si="12"/>
        <v>0</v>
      </c>
      <c r="BB44" s="75">
        <f t="shared" si="13"/>
        <v>0</v>
      </c>
      <c r="BC44" s="75">
        <f t="shared" si="14"/>
        <v>0</v>
      </c>
      <c r="BD44" s="75">
        <f t="shared" si="15"/>
        <v>0</v>
      </c>
    </row>
    <row r="45" spans="1:62" ht="15" thickBot="1" x14ac:dyDescent="0.4">
      <c r="A45" s="9" t="s">
        <v>208</v>
      </c>
      <c r="B45" s="10" t="s">
        <v>209</v>
      </c>
      <c r="C45" s="10" t="s">
        <v>210</v>
      </c>
      <c r="D45" s="10"/>
      <c r="E45" s="10"/>
      <c r="F45" s="10"/>
      <c r="G45" s="10">
        <v>1459</v>
      </c>
      <c r="H45" s="10">
        <v>1288</v>
      </c>
      <c r="I45" s="10"/>
      <c r="J45" s="10"/>
      <c r="K45" s="10"/>
      <c r="L45" s="10">
        <v>2477</v>
      </c>
      <c r="M45" s="10"/>
      <c r="N45" s="10"/>
      <c r="O45" s="10"/>
      <c r="P45" s="10">
        <v>3779</v>
      </c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F45" s="102"/>
      <c r="AG45" s="9" t="s">
        <v>208</v>
      </c>
      <c r="AH45" s="10" t="s">
        <v>209</v>
      </c>
      <c r="AI45" s="10" t="s">
        <v>210</v>
      </c>
      <c r="AJ45" s="10">
        <v>1459</v>
      </c>
      <c r="AK45" s="10">
        <v>1288</v>
      </c>
      <c r="AL45" s="10">
        <v>2477</v>
      </c>
      <c r="AM45" s="10"/>
      <c r="AN45" s="10">
        <v>3779</v>
      </c>
      <c r="AO45" s="108"/>
      <c r="AP45" s="77">
        <f t="shared" si="17"/>
        <v>0</v>
      </c>
      <c r="AQ45" s="77">
        <f t="shared" si="18"/>
        <v>0</v>
      </c>
      <c r="AR45" s="77">
        <f t="shared" si="19"/>
        <v>0</v>
      </c>
      <c r="AS45" s="77">
        <f t="shared" si="20"/>
        <v>0</v>
      </c>
      <c r="AT45" s="77">
        <f t="shared" si="21"/>
        <v>0</v>
      </c>
      <c r="AU45" s="77">
        <f t="shared" si="22"/>
        <v>0</v>
      </c>
      <c r="AV45" s="79">
        <f t="shared" si="25"/>
        <v>0</v>
      </c>
      <c r="AW45" s="108"/>
      <c r="AX45" s="75">
        <f t="shared" si="9"/>
        <v>0</v>
      </c>
      <c r="AY45" s="75">
        <f t="shared" si="10"/>
        <v>0</v>
      </c>
      <c r="AZ45" s="75">
        <f t="shared" si="11"/>
        <v>0</v>
      </c>
      <c r="BA45" s="75">
        <f t="shared" si="12"/>
        <v>0</v>
      </c>
      <c r="BB45" s="75">
        <f t="shared" si="13"/>
        <v>0</v>
      </c>
      <c r="BC45" s="75">
        <f t="shared" si="14"/>
        <v>0</v>
      </c>
      <c r="BD45" s="75">
        <f t="shared" si="15"/>
        <v>0</v>
      </c>
    </row>
    <row r="46" spans="1:62" ht="15" thickBot="1" x14ac:dyDescent="0.4">
      <c r="A46" s="9" t="s">
        <v>211</v>
      </c>
      <c r="B46" s="10" t="s">
        <v>212</v>
      </c>
      <c r="C46" s="10" t="s">
        <v>213</v>
      </c>
      <c r="D46" s="10"/>
      <c r="E46" s="10"/>
      <c r="F46" s="10"/>
      <c r="G46" s="10">
        <v>1467</v>
      </c>
      <c r="H46" s="10">
        <v>1299</v>
      </c>
      <c r="I46" s="10"/>
      <c r="J46" s="10"/>
      <c r="K46" s="10"/>
      <c r="L46" s="10">
        <v>2488</v>
      </c>
      <c r="M46" s="10"/>
      <c r="N46" s="10"/>
      <c r="O46" s="10"/>
      <c r="P46" s="10">
        <v>3788</v>
      </c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F46" s="102"/>
      <c r="AG46" s="9" t="s">
        <v>211</v>
      </c>
      <c r="AH46" s="10" t="s">
        <v>212</v>
      </c>
      <c r="AI46" s="10" t="s">
        <v>213</v>
      </c>
      <c r="AJ46" s="10">
        <v>1467</v>
      </c>
      <c r="AK46" s="10">
        <v>1299</v>
      </c>
      <c r="AL46" s="10">
        <v>2488</v>
      </c>
      <c r="AM46" s="10"/>
      <c r="AN46" s="10">
        <v>3788</v>
      </c>
      <c r="AO46" s="108"/>
      <c r="AP46" s="77">
        <f t="shared" si="17"/>
        <v>0</v>
      </c>
      <c r="AQ46" s="77">
        <f t="shared" si="18"/>
        <v>0</v>
      </c>
      <c r="AR46" s="77">
        <f t="shared" si="19"/>
        <v>0</v>
      </c>
      <c r="AS46" s="77">
        <f t="shared" si="20"/>
        <v>0</v>
      </c>
      <c r="AT46" s="77">
        <f t="shared" si="21"/>
        <v>1</v>
      </c>
      <c r="AU46" s="77">
        <f t="shared" si="22"/>
        <v>0</v>
      </c>
      <c r="AV46" s="79">
        <f t="shared" si="25"/>
        <v>0</v>
      </c>
      <c r="AW46" s="108"/>
      <c r="AX46" s="75">
        <f t="shared" si="9"/>
        <v>0</v>
      </c>
      <c r="AY46" s="75">
        <f t="shared" si="10"/>
        <v>0</v>
      </c>
      <c r="AZ46" s="75">
        <f t="shared" si="11"/>
        <v>0</v>
      </c>
      <c r="BA46" s="75">
        <f t="shared" si="12"/>
        <v>0</v>
      </c>
      <c r="BB46" s="75">
        <f t="shared" si="13"/>
        <v>0</v>
      </c>
      <c r="BC46" s="75">
        <f t="shared" si="14"/>
        <v>0</v>
      </c>
      <c r="BD46" s="75">
        <f t="shared" si="15"/>
        <v>0</v>
      </c>
    </row>
    <row r="47" spans="1:62" ht="15" thickBot="1" x14ac:dyDescent="0.4">
      <c r="A47" s="9" t="s">
        <v>214</v>
      </c>
      <c r="B47" s="10" t="s">
        <v>215</v>
      </c>
      <c r="C47" s="10" t="s">
        <v>102</v>
      </c>
      <c r="D47" s="10"/>
      <c r="E47" s="10"/>
      <c r="F47" s="10"/>
      <c r="G47" s="10">
        <v>1468</v>
      </c>
      <c r="H47" s="10">
        <v>1334</v>
      </c>
      <c r="I47" s="10"/>
      <c r="J47" s="10"/>
      <c r="K47" s="10"/>
      <c r="L47" s="10">
        <v>2499</v>
      </c>
      <c r="M47" s="10"/>
      <c r="N47" s="10"/>
      <c r="O47" s="10"/>
      <c r="P47" s="10">
        <v>3799</v>
      </c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F47" s="102"/>
      <c r="AG47" s="9" t="s">
        <v>214</v>
      </c>
      <c r="AH47" s="10" t="s">
        <v>215</v>
      </c>
      <c r="AI47" s="10" t="s">
        <v>102</v>
      </c>
      <c r="AJ47" s="10">
        <v>1468</v>
      </c>
      <c r="AK47" s="10">
        <v>1334</v>
      </c>
      <c r="AL47" s="10">
        <v>2499</v>
      </c>
      <c r="AM47" s="10"/>
      <c r="AN47" s="10">
        <v>3799</v>
      </c>
      <c r="AO47" s="108"/>
      <c r="AP47" s="77">
        <f t="shared" si="17"/>
        <v>1</v>
      </c>
      <c r="AQ47" s="77">
        <f t="shared" si="18"/>
        <v>2</v>
      </c>
      <c r="AR47" s="77">
        <f t="shared" si="19"/>
        <v>0</v>
      </c>
      <c r="AS47" s="77">
        <f t="shared" si="20"/>
        <v>0</v>
      </c>
      <c r="AT47" s="77">
        <f t="shared" si="21"/>
        <v>0</v>
      </c>
      <c r="AU47" s="77">
        <f t="shared" si="22"/>
        <v>0</v>
      </c>
      <c r="AV47" s="79">
        <f t="shared" si="25"/>
        <v>1</v>
      </c>
      <c r="AW47" s="108"/>
      <c r="AX47" s="75">
        <f t="shared" si="9"/>
        <v>0</v>
      </c>
      <c r="AY47" s="75">
        <f t="shared" si="10"/>
        <v>2</v>
      </c>
      <c r="AZ47" s="75">
        <f t="shared" si="11"/>
        <v>0</v>
      </c>
      <c r="BA47" s="75">
        <f t="shared" si="12"/>
        <v>0</v>
      </c>
      <c r="BB47" s="75">
        <f t="shared" si="13"/>
        <v>0</v>
      </c>
      <c r="BC47" s="75">
        <f t="shared" si="14"/>
        <v>0</v>
      </c>
      <c r="BD47" s="75">
        <f t="shared" si="15"/>
        <v>0</v>
      </c>
    </row>
    <row r="48" spans="1:62" ht="15" thickBot="1" x14ac:dyDescent="0.4">
      <c r="A48" s="9" t="s">
        <v>216</v>
      </c>
      <c r="B48" s="10" t="s">
        <v>217</v>
      </c>
      <c r="C48" s="10" t="s">
        <v>218</v>
      </c>
      <c r="D48" s="10"/>
      <c r="E48" s="10"/>
      <c r="F48" s="10"/>
      <c r="G48" s="10">
        <v>1469</v>
      </c>
      <c r="H48" s="10">
        <v>1335</v>
      </c>
      <c r="I48" s="10"/>
      <c r="J48" s="10"/>
      <c r="K48" s="10"/>
      <c r="L48" s="10">
        <v>2556</v>
      </c>
      <c r="M48" s="10"/>
      <c r="N48" s="10"/>
      <c r="O48" s="10"/>
      <c r="P48" s="10">
        <v>3889</v>
      </c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F48" s="102"/>
      <c r="AG48" s="9" t="s">
        <v>216</v>
      </c>
      <c r="AH48" s="10" t="s">
        <v>217</v>
      </c>
      <c r="AI48" s="10" t="s">
        <v>218</v>
      </c>
      <c r="AJ48" s="10">
        <v>1469</v>
      </c>
      <c r="AK48" s="10">
        <v>1335</v>
      </c>
      <c r="AL48" s="10">
        <v>2556</v>
      </c>
      <c r="AM48" s="10"/>
      <c r="AN48" s="10">
        <v>3889</v>
      </c>
      <c r="AO48" s="108"/>
      <c r="AP48" s="77">
        <f t="shared" si="17"/>
        <v>0</v>
      </c>
      <c r="AQ48" s="77">
        <f t="shared" si="18"/>
        <v>0</v>
      </c>
      <c r="AR48" s="77">
        <f t="shared" si="19"/>
        <v>0</v>
      </c>
      <c r="AS48" s="77">
        <f t="shared" si="20"/>
        <v>3</v>
      </c>
      <c r="AT48" s="77">
        <f t="shared" si="21"/>
        <v>1</v>
      </c>
      <c r="AU48" s="77">
        <f t="shared" si="22"/>
        <v>0</v>
      </c>
      <c r="AV48" s="79">
        <f t="shared" si="25"/>
        <v>0</v>
      </c>
      <c r="AW48" s="108"/>
      <c r="AX48" s="75">
        <f t="shared" si="9"/>
        <v>0</v>
      </c>
      <c r="AY48" s="75">
        <f t="shared" si="10"/>
        <v>0</v>
      </c>
      <c r="AZ48" s="75">
        <f t="shared" si="11"/>
        <v>0</v>
      </c>
      <c r="BA48" s="75">
        <f t="shared" si="12"/>
        <v>0</v>
      </c>
      <c r="BB48" s="75">
        <f t="shared" si="13"/>
        <v>0</v>
      </c>
      <c r="BC48" s="75">
        <f t="shared" si="14"/>
        <v>0</v>
      </c>
      <c r="BD48" s="75">
        <f t="shared" si="15"/>
        <v>1</v>
      </c>
    </row>
    <row r="49" spans="1:56" ht="15" thickBot="1" x14ac:dyDescent="0.4">
      <c r="A49" s="9" t="s">
        <v>219</v>
      </c>
      <c r="B49" s="10" t="s">
        <v>96</v>
      </c>
      <c r="C49" s="10" t="s">
        <v>220</v>
      </c>
      <c r="D49" s="10"/>
      <c r="E49" s="10"/>
      <c r="F49" s="10"/>
      <c r="G49" s="10">
        <v>1478</v>
      </c>
      <c r="H49" s="10">
        <v>1336</v>
      </c>
      <c r="I49" s="10"/>
      <c r="J49" s="10"/>
      <c r="K49" s="10"/>
      <c r="L49" s="10">
        <v>2557</v>
      </c>
      <c r="M49" s="10"/>
      <c r="N49" s="10"/>
      <c r="O49" s="10"/>
      <c r="P49" s="10">
        <v>3899</v>
      </c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F49" s="102"/>
      <c r="AG49" s="9" t="s">
        <v>219</v>
      </c>
      <c r="AH49" s="10" t="s">
        <v>96</v>
      </c>
      <c r="AI49" s="10" t="s">
        <v>220</v>
      </c>
      <c r="AJ49" s="10">
        <v>1478</v>
      </c>
      <c r="AK49" s="10">
        <v>1336</v>
      </c>
      <c r="AL49" s="10">
        <v>2557</v>
      </c>
      <c r="AM49" s="10"/>
      <c r="AN49" s="10">
        <v>3899</v>
      </c>
      <c r="AO49" s="108"/>
      <c r="AP49" s="77">
        <f t="shared" si="17"/>
        <v>2</v>
      </c>
      <c r="AQ49" s="77">
        <f t="shared" si="18"/>
        <v>0</v>
      </c>
      <c r="AR49" s="77">
        <f t="shared" si="19"/>
        <v>0</v>
      </c>
      <c r="AS49" s="77">
        <f t="shared" si="20"/>
        <v>0</v>
      </c>
      <c r="AT49" s="77">
        <f t="shared" si="21"/>
        <v>0</v>
      </c>
      <c r="AU49" s="77">
        <f t="shared" si="22"/>
        <v>0</v>
      </c>
      <c r="AV49" s="79">
        <f t="shared" si="25"/>
        <v>0</v>
      </c>
      <c r="AW49" s="108"/>
      <c r="AX49" s="75">
        <f t="shared" si="9"/>
        <v>2</v>
      </c>
      <c r="AY49" s="75">
        <f t="shared" si="10"/>
        <v>0</v>
      </c>
      <c r="AZ49" s="75">
        <f t="shared" si="11"/>
        <v>0</v>
      </c>
      <c r="BA49" s="75">
        <f t="shared" si="12"/>
        <v>0</v>
      </c>
      <c r="BB49" s="75">
        <f t="shared" si="13"/>
        <v>0</v>
      </c>
      <c r="BC49" s="75">
        <f t="shared" si="14"/>
        <v>0</v>
      </c>
      <c r="BD49" s="75">
        <f t="shared" si="15"/>
        <v>0</v>
      </c>
    </row>
    <row r="50" spans="1:56" ht="15" thickBot="1" x14ac:dyDescent="0.4">
      <c r="A50" s="9" t="s">
        <v>221</v>
      </c>
      <c r="B50" s="10" t="s">
        <v>222</v>
      </c>
      <c r="C50" s="10" t="s">
        <v>223</v>
      </c>
      <c r="D50" s="10"/>
      <c r="E50" s="10"/>
      <c r="F50" s="10"/>
      <c r="G50" s="10">
        <v>1479</v>
      </c>
      <c r="H50" s="10">
        <v>1337</v>
      </c>
      <c r="I50" s="10"/>
      <c r="J50" s="10"/>
      <c r="K50" s="10"/>
      <c r="L50" s="10">
        <v>2558</v>
      </c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F50" s="102"/>
      <c r="AG50" s="9" t="s">
        <v>221</v>
      </c>
      <c r="AH50" s="10" t="s">
        <v>222</v>
      </c>
      <c r="AI50" s="10" t="s">
        <v>223</v>
      </c>
      <c r="AJ50" s="10">
        <v>1479</v>
      </c>
      <c r="AK50" s="10">
        <v>1337</v>
      </c>
      <c r="AL50" s="10">
        <v>2558</v>
      </c>
      <c r="AM50" s="10"/>
      <c r="AN50" s="10">
        <v>4456</v>
      </c>
      <c r="AO50" s="108"/>
      <c r="AP50" s="77">
        <f t="shared" si="17"/>
        <v>0</v>
      </c>
      <c r="AQ50" s="77">
        <f t="shared" si="18"/>
        <v>0</v>
      </c>
      <c r="AR50" s="77">
        <f t="shared" si="19"/>
        <v>0</v>
      </c>
      <c r="AS50" s="77">
        <f t="shared" si="20"/>
        <v>0</v>
      </c>
      <c r="AT50" s="77">
        <f t="shared" si="21"/>
        <v>0</v>
      </c>
      <c r="AU50" s="77">
        <f t="shared" si="22"/>
        <v>0</v>
      </c>
      <c r="AV50" s="79">
        <f t="shared" si="25"/>
        <v>0</v>
      </c>
      <c r="AW50" s="108"/>
      <c r="AX50" s="75">
        <f t="shared" si="9"/>
        <v>0</v>
      </c>
      <c r="AY50" s="75">
        <f t="shared" si="10"/>
        <v>0</v>
      </c>
      <c r="AZ50" s="75">
        <f t="shared" si="11"/>
        <v>0</v>
      </c>
      <c r="BA50" s="75">
        <f t="shared" si="12"/>
        <v>0</v>
      </c>
      <c r="BB50" s="75">
        <f t="shared" si="13"/>
        <v>0</v>
      </c>
      <c r="BC50" s="75">
        <f t="shared" si="14"/>
        <v>0</v>
      </c>
      <c r="BD50" s="75">
        <f t="shared" si="15"/>
        <v>0</v>
      </c>
    </row>
    <row r="51" spans="1:56" ht="15" thickBot="1" x14ac:dyDescent="0.4">
      <c r="A51" s="9" t="s">
        <v>224</v>
      </c>
      <c r="B51" s="10" t="s">
        <v>225</v>
      </c>
      <c r="C51" s="10" t="s">
        <v>109</v>
      </c>
      <c r="D51" s="10"/>
      <c r="E51" s="10"/>
      <c r="F51" s="10"/>
      <c r="G51" s="10">
        <v>1489</v>
      </c>
      <c r="H51" s="10">
        <v>1338</v>
      </c>
      <c r="I51" s="10"/>
      <c r="J51" s="10"/>
      <c r="K51" s="10"/>
      <c r="L51" s="10">
        <v>2559</v>
      </c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F51" s="102"/>
      <c r="AG51" s="9" t="s">
        <v>224</v>
      </c>
      <c r="AH51" s="10" t="s">
        <v>225</v>
      </c>
      <c r="AI51" s="10" t="s">
        <v>109</v>
      </c>
      <c r="AJ51" s="10">
        <v>1489</v>
      </c>
      <c r="AK51" s="10">
        <v>1338</v>
      </c>
      <c r="AL51" s="10">
        <v>2559</v>
      </c>
      <c r="AM51" s="10"/>
      <c r="AN51" s="10">
        <v>4457</v>
      </c>
      <c r="AO51" s="108"/>
      <c r="AP51" s="77">
        <f t="shared" si="17"/>
        <v>0</v>
      </c>
      <c r="AQ51" s="77">
        <f t="shared" si="18"/>
        <v>1</v>
      </c>
      <c r="AR51" s="77">
        <f t="shared" si="19"/>
        <v>0</v>
      </c>
      <c r="AS51" s="77">
        <f t="shared" si="20"/>
        <v>0</v>
      </c>
      <c r="AT51" s="77">
        <f t="shared" si="21"/>
        <v>0</v>
      </c>
      <c r="AU51" s="77">
        <f t="shared" si="22"/>
        <v>0</v>
      </c>
      <c r="AV51" s="79">
        <f t="shared" si="25"/>
        <v>0</v>
      </c>
      <c r="AW51" s="108"/>
      <c r="AX51" s="75">
        <f t="shared" si="9"/>
        <v>0</v>
      </c>
      <c r="AY51" s="75">
        <f t="shared" si="10"/>
        <v>1</v>
      </c>
      <c r="AZ51" s="75">
        <f t="shared" si="11"/>
        <v>0</v>
      </c>
      <c r="BA51" s="75">
        <f t="shared" si="12"/>
        <v>0</v>
      </c>
      <c r="BB51" s="75">
        <f t="shared" si="13"/>
        <v>0</v>
      </c>
      <c r="BC51" s="75">
        <f t="shared" si="14"/>
        <v>0</v>
      </c>
      <c r="BD51" s="75">
        <f t="shared" si="15"/>
        <v>0</v>
      </c>
    </row>
    <row r="52" spans="1:56" ht="15" thickBot="1" x14ac:dyDescent="0.4">
      <c r="A52" s="9" t="s">
        <v>226</v>
      </c>
      <c r="B52" s="10" t="s">
        <v>227</v>
      </c>
      <c r="C52" s="10" t="s">
        <v>228</v>
      </c>
      <c r="D52" s="10"/>
      <c r="E52" s="10"/>
      <c r="F52" s="10"/>
      <c r="G52" s="10">
        <v>1567</v>
      </c>
      <c r="H52" s="10">
        <v>1339</v>
      </c>
      <c r="I52" s="10"/>
      <c r="J52" s="10"/>
      <c r="K52" s="10"/>
      <c r="L52" s="10">
        <v>2566</v>
      </c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F52" s="103"/>
      <c r="AG52" s="41" t="s">
        <v>226</v>
      </c>
      <c r="AH52" s="42" t="s">
        <v>227</v>
      </c>
      <c r="AI52" s="42" t="s">
        <v>228</v>
      </c>
      <c r="AJ52" s="42">
        <v>1567</v>
      </c>
      <c r="AK52" s="42">
        <v>1339</v>
      </c>
      <c r="AL52" s="42">
        <v>2566</v>
      </c>
      <c r="AM52" s="42"/>
      <c r="AN52" s="42">
        <v>4458</v>
      </c>
      <c r="AO52" s="109"/>
      <c r="AP52" s="80">
        <f t="shared" si="17"/>
        <v>0</v>
      </c>
      <c r="AQ52" s="80">
        <f t="shared" si="18"/>
        <v>1</v>
      </c>
      <c r="AR52" s="80">
        <f t="shared" si="19"/>
        <v>0</v>
      </c>
      <c r="AS52" s="80">
        <f t="shared" si="20"/>
        <v>1</v>
      </c>
      <c r="AT52" s="80">
        <f t="shared" si="21"/>
        <v>0</v>
      </c>
      <c r="AU52" s="80">
        <f t="shared" si="22"/>
        <v>0</v>
      </c>
      <c r="AV52" s="81">
        <f t="shared" si="25"/>
        <v>0</v>
      </c>
      <c r="AW52" s="109"/>
      <c r="AX52" s="75">
        <f t="shared" si="9"/>
        <v>0</v>
      </c>
      <c r="AY52" s="75">
        <f t="shared" si="10"/>
        <v>1</v>
      </c>
      <c r="AZ52" s="75">
        <f t="shared" si="11"/>
        <v>0</v>
      </c>
      <c r="BA52" s="75">
        <f t="shared" si="12"/>
        <v>1</v>
      </c>
      <c r="BB52" s="75">
        <f t="shared" si="13"/>
        <v>0</v>
      </c>
      <c r="BC52" s="75">
        <f t="shared" si="14"/>
        <v>0</v>
      </c>
      <c r="BD52" s="75">
        <f t="shared" si="15"/>
        <v>0</v>
      </c>
    </row>
    <row r="53" spans="1:56" ht="15" thickBot="1" x14ac:dyDescent="0.4">
      <c r="A53" s="9" t="s">
        <v>229</v>
      </c>
      <c r="B53" s="10" t="s">
        <v>230</v>
      </c>
      <c r="C53" s="10" t="s">
        <v>231</v>
      </c>
      <c r="D53" s="10"/>
      <c r="E53" s="10"/>
      <c r="F53" s="10"/>
      <c r="G53" s="10">
        <v>1568</v>
      </c>
      <c r="H53" s="10">
        <v>1344</v>
      </c>
      <c r="I53" s="10"/>
      <c r="J53" s="10"/>
      <c r="K53" s="10"/>
      <c r="L53" s="10">
        <v>2577</v>
      </c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F53" s="101" t="s">
        <v>438</v>
      </c>
      <c r="AG53" s="39" t="s">
        <v>229</v>
      </c>
      <c r="AH53" s="40" t="s">
        <v>230</v>
      </c>
      <c r="AI53" s="40" t="s">
        <v>231</v>
      </c>
      <c r="AJ53" s="40">
        <v>1568</v>
      </c>
      <c r="AK53" s="40">
        <v>1344</v>
      </c>
      <c r="AL53" s="93">
        <v>2577</v>
      </c>
      <c r="AM53" s="40"/>
      <c r="AN53" s="40">
        <v>4459</v>
      </c>
      <c r="AO53" s="107">
        <f t="shared" ref="AO53" si="30">SUM(AP53:AV64)</f>
        <v>20</v>
      </c>
      <c r="AP53" s="75">
        <f t="shared" si="17"/>
        <v>0</v>
      </c>
      <c r="AQ53" s="75">
        <f t="shared" si="18"/>
        <v>0</v>
      </c>
      <c r="AR53" s="75">
        <f t="shared" si="19"/>
        <v>0</v>
      </c>
      <c r="AS53" s="75">
        <f t="shared" si="20"/>
        <v>3</v>
      </c>
      <c r="AT53" s="75">
        <f t="shared" si="21"/>
        <v>0</v>
      </c>
      <c r="AU53" s="75">
        <f t="shared" si="22"/>
        <v>0</v>
      </c>
      <c r="AV53" s="76">
        <f t="shared" si="25"/>
        <v>0</v>
      </c>
      <c r="AW53" s="107">
        <f t="shared" ref="AW53" si="31">SUM(AX53:BD64)</f>
        <v>5</v>
      </c>
      <c r="AX53" s="75">
        <f t="shared" si="9"/>
        <v>0</v>
      </c>
      <c r="AY53" s="75">
        <f t="shared" si="10"/>
        <v>0</v>
      </c>
      <c r="AZ53" s="75">
        <f t="shared" si="11"/>
        <v>0</v>
      </c>
      <c r="BA53" s="75">
        <f t="shared" si="12"/>
        <v>2</v>
      </c>
      <c r="BB53" s="75">
        <f t="shared" si="13"/>
        <v>0</v>
      </c>
      <c r="BC53" s="75">
        <f t="shared" si="14"/>
        <v>0</v>
      </c>
      <c r="BD53" s="75">
        <f t="shared" si="15"/>
        <v>0</v>
      </c>
    </row>
    <row r="54" spans="1:56" ht="15" thickBot="1" x14ac:dyDescent="0.4">
      <c r="A54" s="9" t="s">
        <v>232</v>
      </c>
      <c r="B54" s="10" t="s">
        <v>233</v>
      </c>
      <c r="C54" s="10" t="s">
        <v>113</v>
      </c>
      <c r="D54" s="10"/>
      <c r="E54" s="10"/>
      <c r="F54" s="10"/>
      <c r="G54" s="10">
        <v>1569</v>
      </c>
      <c r="H54" s="10">
        <v>1355</v>
      </c>
      <c r="I54" s="10"/>
      <c r="J54" s="10"/>
      <c r="K54" s="10"/>
      <c r="L54" s="10">
        <v>2588</v>
      </c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F54" s="102"/>
      <c r="AG54" s="9" t="s">
        <v>232</v>
      </c>
      <c r="AH54" s="10" t="s">
        <v>233</v>
      </c>
      <c r="AI54" s="10" t="s">
        <v>113</v>
      </c>
      <c r="AJ54" s="10">
        <v>1569</v>
      </c>
      <c r="AK54" s="10">
        <v>1355</v>
      </c>
      <c r="AL54" s="94">
        <v>2588</v>
      </c>
      <c r="AM54" s="10"/>
      <c r="AN54" s="10">
        <v>4467</v>
      </c>
      <c r="AO54" s="108"/>
      <c r="AP54" s="77">
        <f t="shared" si="17"/>
        <v>0</v>
      </c>
      <c r="AQ54" s="77">
        <f t="shared" si="18"/>
        <v>1</v>
      </c>
      <c r="AR54" s="77">
        <f t="shared" si="19"/>
        <v>0</v>
      </c>
      <c r="AS54" s="77">
        <f t="shared" si="20"/>
        <v>1</v>
      </c>
      <c r="AT54" s="77">
        <f t="shared" si="21"/>
        <v>0</v>
      </c>
      <c r="AU54" s="77">
        <f t="shared" si="22"/>
        <v>0</v>
      </c>
      <c r="AV54" s="79">
        <f t="shared" si="25"/>
        <v>0</v>
      </c>
      <c r="AW54" s="108"/>
      <c r="AX54" s="75">
        <f t="shared" si="9"/>
        <v>0</v>
      </c>
      <c r="AY54" s="75">
        <f t="shared" si="10"/>
        <v>1</v>
      </c>
      <c r="AZ54" s="75">
        <f t="shared" si="11"/>
        <v>0</v>
      </c>
      <c r="BA54" s="75">
        <f t="shared" si="12"/>
        <v>0</v>
      </c>
      <c r="BB54" s="75">
        <f t="shared" si="13"/>
        <v>0</v>
      </c>
      <c r="BC54" s="75">
        <f t="shared" si="14"/>
        <v>0</v>
      </c>
      <c r="BD54" s="75">
        <f t="shared" si="15"/>
        <v>0</v>
      </c>
    </row>
    <row r="55" spans="1:56" ht="15" thickBot="1" x14ac:dyDescent="0.4">
      <c r="A55" s="9" t="s">
        <v>234</v>
      </c>
      <c r="B55" s="10" t="s">
        <v>235</v>
      </c>
      <c r="C55" s="10" t="s">
        <v>236</v>
      </c>
      <c r="D55" s="10"/>
      <c r="E55" s="10"/>
      <c r="F55" s="10"/>
      <c r="G55" s="10">
        <v>1577</v>
      </c>
      <c r="H55" s="10">
        <v>1377</v>
      </c>
      <c r="I55" s="10"/>
      <c r="J55" s="10"/>
      <c r="K55" s="10"/>
      <c r="L55" s="10">
        <v>2599</v>
      </c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F55" s="102"/>
      <c r="AG55" s="9" t="s">
        <v>234</v>
      </c>
      <c r="AH55" s="10" t="s">
        <v>235</v>
      </c>
      <c r="AI55" s="10" t="s">
        <v>236</v>
      </c>
      <c r="AJ55" s="10">
        <v>1577</v>
      </c>
      <c r="AK55" s="10">
        <v>1377</v>
      </c>
      <c r="AL55" s="94">
        <v>2599</v>
      </c>
      <c r="AM55" s="10"/>
      <c r="AN55" s="10">
        <v>4468</v>
      </c>
      <c r="AO55" s="108"/>
      <c r="AP55" s="77">
        <f t="shared" si="17"/>
        <v>0</v>
      </c>
      <c r="AQ55" s="77">
        <f t="shared" si="18"/>
        <v>0</v>
      </c>
      <c r="AR55" s="77">
        <f t="shared" si="19"/>
        <v>1</v>
      </c>
      <c r="AS55" s="77">
        <f t="shared" si="20"/>
        <v>0</v>
      </c>
      <c r="AT55" s="77">
        <f t="shared" si="21"/>
        <v>0</v>
      </c>
      <c r="AU55" s="77">
        <f t="shared" si="22"/>
        <v>0</v>
      </c>
      <c r="AV55" s="79">
        <f t="shared" si="25"/>
        <v>1</v>
      </c>
      <c r="AW55" s="108"/>
      <c r="AX55" s="75">
        <f t="shared" si="9"/>
        <v>0</v>
      </c>
      <c r="AY55" s="75">
        <f t="shared" si="10"/>
        <v>0</v>
      </c>
      <c r="AZ55" s="75">
        <f t="shared" si="11"/>
        <v>0</v>
      </c>
      <c r="BA55" s="75">
        <f t="shared" si="12"/>
        <v>0</v>
      </c>
      <c r="BB55" s="75">
        <f t="shared" si="13"/>
        <v>0</v>
      </c>
      <c r="BC55" s="75">
        <f t="shared" si="14"/>
        <v>0</v>
      </c>
      <c r="BD55" s="75">
        <f t="shared" si="15"/>
        <v>0</v>
      </c>
    </row>
    <row r="56" spans="1:56" ht="15" thickBot="1" x14ac:dyDescent="0.4">
      <c r="A56" s="9" t="s">
        <v>237</v>
      </c>
      <c r="B56" s="10" t="s">
        <v>238</v>
      </c>
      <c r="C56" s="10" t="s">
        <v>239</v>
      </c>
      <c r="D56" s="10"/>
      <c r="E56" s="10"/>
      <c r="F56" s="10"/>
      <c r="G56" s="10">
        <v>1578</v>
      </c>
      <c r="H56" s="10">
        <v>1388</v>
      </c>
      <c r="I56" s="10"/>
      <c r="J56" s="10"/>
      <c r="K56" s="10"/>
      <c r="L56" s="10">
        <v>2667</v>
      </c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F56" s="102"/>
      <c r="AG56" s="9" t="s">
        <v>237</v>
      </c>
      <c r="AH56" s="10" t="s">
        <v>238</v>
      </c>
      <c r="AI56" s="10" t="s">
        <v>239</v>
      </c>
      <c r="AJ56" s="10">
        <v>1578</v>
      </c>
      <c r="AK56" s="10">
        <v>1388</v>
      </c>
      <c r="AL56" s="94">
        <v>2667</v>
      </c>
      <c r="AM56" s="10"/>
      <c r="AN56" s="10">
        <v>4469</v>
      </c>
      <c r="AO56" s="108"/>
      <c r="AP56" s="77">
        <f t="shared" si="17"/>
        <v>0</v>
      </c>
      <c r="AQ56" s="77">
        <f t="shared" si="18"/>
        <v>0</v>
      </c>
      <c r="AR56" s="77">
        <f t="shared" si="19"/>
        <v>1</v>
      </c>
      <c r="AS56" s="77">
        <f t="shared" si="20"/>
        <v>1</v>
      </c>
      <c r="AT56" s="77">
        <f t="shared" si="21"/>
        <v>0</v>
      </c>
      <c r="AU56" s="77">
        <f t="shared" si="22"/>
        <v>0</v>
      </c>
      <c r="AV56" s="79">
        <f t="shared" si="25"/>
        <v>0</v>
      </c>
      <c r="AW56" s="108"/>
      <c r="AX56" s="75">
        <f t="shared" si="9"/>
        <v>0</v>
      </c>
      <c r="AY56" s="75">
        <f t="shared" si="10"/>
        <v>0</v>
      </c>
      <c r="AZ56" s="75">
        <f t="shared" si="11"/>
        <v>0</v>
      </c>
      <c r="BA56" s="75">
        <f t="shared" si="12"/>
        <v>0</v>
      </c>
      <c r="BB56" s="75">
        <f t="shared" si="13"/>
        <v>0</v>
      </c>
      <c r="BC56" s="75">
        <f t="shared" si="14"/>
        <v>0</v>
      </c>
      <c r="BD56" s="75">
        <f t="shared" si="15"/>
        <v>0</v>
      </c>
    </row>
    <row r="57" spans="1:56" ht="15" thickBot="1" x14ac:dyDescent="0.4">
      <c r="A57" s="9" t="s">
        <v>240</v>
      </c>
      <c r="B57" s="10" t="s">
        <v>241</v>
      </c>
      <c r="C57" s="10" t="s">
        <v>242</v>
      </c>
      <c r="D57" s="10"/>
      <c r="E57" s="10"/>
      <c r="F57" s="10"/>
      <c r="G57" s="10">
        <v>1579</v>
      </c>
      <c r="H57" s="10">
        <v>1399</v>
      </c>
      <c r="I57" s="10"/>
      <c r="J57" s="10"/>
      <c r="K57" s="10"/>
      <c r="L57" s="10">
        <v>2668</v>
      </c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F57" s="102"/>
      <c r="AG57" s="9" t="s">
        <v>240</v>
      </c>
      <c r="AH57" s="10" t="s">
        <v>241</v>
      </c>
      <c r="AI57" s="10" t="s">
        <v>242</v>
      </c>
      <c r="AJ57" s="10">
        <v>1579</v>
      </c>
      <c r="AK57" s="10">
        <v>1399</v>
      </c>
      <c r="AL57" s="94">
        <v>2668</v>
      </c>
      <c r="AM57" s="10"/>
      <c r="AN57" s="10">
        <v>4478</v>
      </c>
      <c r="AO57" s="108"/>
      <c r="AP57" s="77">
        <f t="shared" si="17"/>
        <v>0</v>
      </c>
      <c r="AQ57" s="77">
        <f t="shared" si="18"/>
        <v>0</v>
      </c>
      <c r="AR57" s="77">
        <f t="shared" si="19"/>
        <v>0</v>
      </c>
      <c r="AS57" s="77">
        <f t="shared" si="20"/>
        <v>0</v>
      </c>
      <c r="AT57" s="77">
        <f t="shared" si="21"/>
        <v>0</v>
      </c>
      <c r="AU57" s="77">
        <f t="shared" si="22"/>
        <v>0</v>
      </c>
      <c r="AV57" s="79">
        <f t="shared" ref="AV57:AV88" si="32">COUNTIF($BG$6:$GA$28,AN58)</f>
        <v>0</v>
      </c>
      <c r="AW57" s="108"/>
      <c r="AX57" s="75">
        <f t="shared" si="9"/>
        <v>0</v>
      </c>
      <c r="AY57" s="75">
        <f t="shared" si="10"/>
        <v>0</v>
      </c>
      <c r="AZ57" s="75">
        <f t="shared" si="11"/>
        <v>0</v>
      </c>
      <c r="BA57" s="75">
        <f t="shared" si="12"/>
        <v>0</v>
      </c>
      <c r="BB57" s="75">
        <f t="shared" si="13"/>
        <v>0</v>
      </c>
      <c r="BC57" s="75">
        <f t="shared" si="14"/>
        <v>0</v>
      </c>
      <c r="BD57" s="75">
        <f t="shared" si="15"/>
        <v>0</v>
      </c>
    </row>
    <row r="58" spans="1:56" ht="15" thickBot="1" x14ac:dyDescent="0.4">
      <c r="A58" s="9" t="s">
        <v>243</v>
      </c>
      <c r="B58" s="10" t="s">
        <v>244</v>
      </c>
      <c r="C58" s="10" t="s">
        <v>245</v>
      </c>
      <c r="D58" s="10"/>
      <c r="E58" s="10"/>
      <c r="F58" s="10"/>
      <c r="G58" s="10">
        <v>1589</v>
      </c>
      <c r="H58" s="10">
        <v>1445</v>
      </c>
      <c r="I58" s="10"/>
      <c r="J58" s="10"/>
      <c r="K58" s="10"/>
      <c r="L58" s="10">
        <v>2669</v>
      </c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F58" s="102"/>
      <c r="AG58" s="9" t="s">
        <v>243</v>
      </c>
      <c r="AH58" s="10" t="s">
        <v>244</v>
      </c>
      <c r="AI58" s="10" t="s">
        <v>245</v>
      </c>
      <c r="AJ58" s="10">
        <v>1589</v>
      </c>
      <c r="AK58" s="10">
        <v>1445</v>
      </c>
      <c r="AL58" s="94">
        <v>2669</v>
      </c>
      <c r="AM58" s="10"/>
      <c r="AN58" s="10">
        <v>4479</v>
      </c>
      <c r="AO58" s="108"/>
      <c r="AP58" s="77">
        <f t="shared" si="17"/>
        <v>0</v>
      </c>
      <c r="AQ58" s="77">
        <f t="shared" si="18"/>
        <v>0</v>
      </c>
      <c r="AR58" s="77">
        <f t="shared" si="19"/>
        <v>1</v>
      </c>
      <c r="AS58" s="77">
        <f t="shared" si="20"/>
        <v>1</v>
      </c>
      <c r="AT58" s="77">
        <f t="shared" si="21"/>
        <v>0</v>
      </c>
      <c r="AU58" s="77">
        <f t="shared" si="22"/>
        <v>0</v>
      </c>
      <c r="AV58" s="79">
        <f t="shared" si="32"/>
        <v>0</v>
      </c>
      <c r="AW58" s="108"/>
      <c r="AX58" s="75">
        <f t="shared" si="9"/>
        <v>0</v>
      </c>
      <c r="AY58" s="75">
        <f t="shared" si="10"/>
        <v>0</v>
      </c>
      <c r="AZ58" s="75">
        <f t="shared" si="11"/>
        <v>0</v>
      </c>
      <c r="BA58" s="75">
        <f t="shared" si="12"/>
        <v>1</v>
      </c>
      <c r="BB58" s="75">
        <f t="shared" si="13"/>
        <v>0</v>
      </c>
      <c r="BC58" s="75">
        <f t="shared" si="14"/>
        <v>0</v>
      </c>
      <c r="BD58" s="75">
        <f t="shared" si="15"/>
        <v>0</v>
      </c>
    </row>
    <row r="59" spans="1:56" ht="15" thickBot="1" x14ac:dyDescent="0.4">
      <c r="A59" s="9" t="s">
        <v>246</v>
      </c>
      <c r="B59" s="10" t="s">
        <v>247</v>
      </c>
      <c r="C59" s="10" t="s">
        <v>248</v>
      </c>
      <c r="D59" s="10"/>
      <c r="E59" s="10"/>
      <c r="F59" s="10"/>
      <c r="G59" s="10">
        <v>1678</v>
      </c>
      <c r="H59" s="10">
        <v>1446</v>
      </c>
      <c r="I59" s="10"/>
      <c r="J59" s="10"/>
      <c r="K59" s="10"/>
      <c r="L59" s="10">
        <v>2677</v>
      </c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F59" s="102"/>
      <c r="AG59" s="9" t="s">
        <v>246</v>
      </c>
      <c r="AH59" s="10" t="s">
        <v>247</v>
      </c>
      <c r="AI59" s="10" t="s">
        <v>248</v>
      </c>
      <c r="AJ59" s="10">
        <v>1678</v>
      </c>
      <c r="AK59" s="10">
        <v>1446</v>
      </c>
      <c r="AL59" s="94">
        <v>2677</v>
      </c>
      <c r="AM59" s="10"/>
      <c r="AN59" s="10">
        <v>4489</v>
      </c>
      <c r="AO59" s="108"/>
      <c r="AP59" s="77">
        <f t="shared" si="17"/>
        <v>0</v>
      </c>
      <c r="AQ59" s="77">
        <f t="shared" si="18"/>
        <v>1</v>
      </c>
      <c r="AR59" s="77">
        <f t="shared" si="19"/>
        <v>0</v>
      </c>
      <c r="AS59" s="77">
        <f t="shared" si="20"/>
        <v>1</v>
      </c>
      <c r="AT59" s="77">
        <f t="shared" si="21"/>
        <v>0</v>
      </c>
      <c r="AU59" s="77">
        <f t="shared" si="22"/>
        <v>0</v>
      </c>
      <c r="AV59" s="79">
        <f t="shared" si="32"/>
        <v>0</v>
      </c>
      <c r="AW59" s="108"/>
      <c r="AX59" s="75">
        <f t="shared" si="9"/>
        <v>0</v>
      </c>
      <c r="AY59" s="75">
        <f t="shared" si="10"/>
        <v>0</v>
      </c>
      <c r="AZ59" s="75">
        <f t="shared" si="11"/>
        <v>0</v>
      </c>
      <c r="BA59" s="75">
        <f t="shared" si="12"/>
        <v>0</v>
      </c>
      <c r="BB59" s="75">
        <f t="shared" si="13"/>
        <v>0</v>
      </c>
      <c r="BC59" s="75">
        <f t="shared" si="14"/>
        <v>0</v>
      </c>
      <c r="BD59" s="75">
        <f t="shared" si="15"/>
        <v>0</v>
      </c>
    </row>
    <row r="60" spans="1:56" ht="15" thickBot="1" x14ac:dyDescent="0.4">
      <c r="A60" s="9" t="s">
        <v>249</v>
      </c>
      <c r="B60" s="10" t="s">
        <v>250</v>
      </c>
      <c r="C60" s="10" t="s">
        <v>251</v>
      </c>
      <c r="D60" s="10"/>
      <c r="E60" s="10"/>
      <c r="F60" s="10"/>
      <c r="G60" s="10">
        <v>1679</v>
      </c>
      <c r="H60" s="10">
        <v>1447</v>
      </c>
      <c r="I60" s="10"/>
      <c r="J60" s="10"/>
      <c r="K60" s="10"/>
      <c r="L60" s="10">
        <v>2688</v>
      </c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F60" s="102"/>
      <c r="AG60" s="9" t="s">
        <v>249</v>
      </c>
      <c r="AH60" s="10" t="s">
        <v>250</v>
      </c>
      <c r="AI60" s="10" t="s">
        <v>251</v>
      </c>
      <c r="AJ60" s="10">
        <v>1679</v>
      </c>
      <c r="AK60" s="10">
        <v>1447</v>
      </c>
      <c r="AL60" s="94">
        <v>2688</v>
      </c>
      <c r="AM60" s="10"/>
      <c r="AN60" s="10">
        <v>4556</v>
      </c>
      <c r="AO60" s="108"/>
      <c r="AP60" s="77">
        <f t="shared" si="17"/>
        <v>0</v>
      </c>
      <c r="AQ60" s="77">
        <f t="shared" si="18"/>
        <v>0</v>
      </c>
      <c r="AR60" s="77">
        <f t="shared" si="19"/>
        <v>2</v>
      </c>
      <c r="AS60" s="77">
        <f t="shared" si="20"/>
        <v>1</v>
      </c>
      <c r="AT60" s="77">
        <f t="shared" si="21"/>
        <v>0</v>
      </c>
      <c r="AU60" s="77">
        <f t="shared" si="22"/>
        <v>0</v>
      </c>
      <c r="AV60" s="79">
        <f t="shared" si="32"/>
        <v>1</v>
      </c>
      <c r="AW60" s="108"/>
      <c r="AX60" s="75">
        <f t="shared" si="9"/>
        <v>0</v>
      </c>
      <c r="AY60" s="75">
        <f t="shared" si="10"/>
        <v>0</v>
      </c>
      <c r="AZ60" s="75">
        <f t="shared" si="11"/>
        <v>0</v>
      </c>
      <c r="BA60" s="75">
        <f t="shared" si="12"/>
        <v>1</v>
      </c>
      <c r="BB60" s="75">
        <f t="shared" si="13"/>
        <v>0</v>
      </c>
      <c r="BC60" s="75">
        <f t="shared" si="14"/>
        <v>0</v>
      </c>
      <c r="BD60" s="75">
        <f t="shared" si="15"/>
        <v>0</v>
      </c>
    </row>
    <row r="61" spans="1:56" ht="15" thickBot="1" x14ac:dyDescent="0.4">
      <c r="A61" s="9" t="s">
        <v>252</v>
      </c>
      <c r="B61" s="10" t="s">
        <v>253</v>
      </c>
      <c r="C61" s="10" t="s">
        <v>254</v>
      </c>
      <c r="D61" s="10"/>
      <c r="E61" s="10"/>
      <c r="F61" s="10"/>
      <c r="G61" s="10">
        <v>1689</v>
      </c>
      <c r="H61" s="10">
        <v>1448</v>
      </c>
      <c r="I61" s="10"/>
      <c r="J61" s="10"/>
      <c r="K61" s="10"/>
      <c r="L61" s="10">
        <v>2699</v>
      </c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F61" s="102"/>
      <c r="AG61" s="9" t="s">
        <v>252</v>
      </c>
      <c r="AH61" s="10" t="s">
        <v>253</v>
      </c>
      <c r="AI61" s="10" t="s">
        <v>254</v>
      </c>
      <c r="AJ61" s="10">
        <v>1689</v>
      </c>
      <c r="AK61" s="10">
        <v>1448</v>
      </c>
      <c r="AL61" s="94">
        <v>2699</v>
      </c>
      <c r="AM61" s="10"/>
      <c r="AN61" s="10">
        <v>4557</v>
      </c>
      <c r="AO61" s="108"/>
      <c r="AP61" s="77">
        <f t="shared" si="17"/>
        <v>0</v>
      </c>
      <c r="AQ61" s="77">
        <f t="shared" si="18"/>
        <v>0</v>
      </c>
      <c r="AR61" s="77">
        <f t="shared" si="19"/>
        <v>0</v>
      </c>
      <c r="AS61" s="77">
        <f t="shared" si="20"/>
        <v>0</v>
      </c>
      <c r="AT61" s="77">
        <f t="shared" si="21"/>
        <v>0</v>
      </c>
      <c r="AU61" s="77">
        <f t="shared" si="22"/>
        <v>0</v>
      </c>
      <c r="AV61" s="79">
        <f t="shared" si="32"/>
        <v>0</v>
      </c>
      <c r="AW61" s="108"/>
      <c r="AX61" s="75">
        <f t="shared" si="9"/>
        <v>0</v>
      </c>
      <c r="AY61" s="75">
        <f t="shared" si="10"/>
        <v>0</v>
      </c>
      <c r="AZ61" s="75">
        <f t="shared" si="11"/>
        <v>0</v>
      </c>
      <c r="BA61" s="75">
        <f t="shared" si="12"/>
        <v>0</v>
      </c>
      <c r="BB61" s="75">
        <f t="shared" si="13"/>
        <v>0</v>
      </c>
      <c r="BC61" s="75">
        <f t="shared" si="14"/>
        <v>0</v>
      </c>
      <c r="BD61" s="75">
        <f t="shared" si="15"/>
        <v>0</v>
      </c>
    </row>
    <row r="62" spans="1:56" ht="15" thickBot="1" x14ac:dyDescent="0.4">
      <c r="A62" s="9" t="s">
        <v>255</v>
      </c>
      <c r="B62" s="10" t="s">
        <v>256</v>
      </c>
      <c r="C62" s="10" t="s">
        <v>257</v>
      </c>
      <c r="D62" s="10"/>
      <c r="E62" s="10"/>
      <c r="F62" s="10"/>
      <c r="G62" s="10">
        <v>1789</v>
      </c>
      <c r="H62" s="10">
        <v>1449</v>
      </c>
      <c r="I62" s="10"/>
      <c r="J62" s="10"/>
      <c r="K62" s="10"/>
      <c r="L62" s="10">
        <v>2778</v>
      </c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F62" s="102"/>
      <c r="AG62" s="9" t="s">
        <v>255</v>
      </c>
      <c r="AH62" s="10" t="s">
        <v>256</v>
      </c>
      <c r="AI62" s="10" t="s">
        <v>257</v>
      </c>
      <c r="AJ62" s="10">
        <v>1789</v>
      </c>
      <c r="AK62" s="10">
        <v>1449</v>
      </c>
      <c r="AL62" s="94">
        <v>2778</v>
      </c>
      <c r="AM62" s="10"/>
      <c r="AN62" s="10">
        <v>4558</v>
      </c>
      <c r="AO62" s="108"/>
      <c r="AP62" s="77">
        <f t="shared" si="17"/>
        <v>0</v>
      </c>
      <c r="AQ62" s="77">
        <f t="shared" si="18"/>
        <v>0</v>
      </c>
      <c r="AR62" s="77">
        <f t="shared" si="19"/>
        <v>0</v>
      </c>
      <c r="AS62" s="77">
        <f t="shared" si="20"/>
        <v>0</v>
      </c>
      <c r="AT62" s="77">
        <f t="shared" si="21"/>
        <v>0</v>
      </c>
      <c r="AU62" s="77">
        <f t="shared" si="22"/>
        <v>0</v>
      </c>
      <c r="AV62" s="79">
        <f t="shared" si="32"/>
        <v>0</v>
      </c>
      <c r="AW62" s="108"/>
      <c r="AX62" s="75">
        <f t="shared" si="9"/>
        <v>0</v>
      </c>
      <c r="AY62" s="75">
        <f t="shared" si="10"/>
        <v>0</v>
      </c>
      <c r="AZ62" s="75">
        <f t="shared" si="11"/>
        <v>0</v>
      </c>
      <c r="BA62" s="75">
        <f t="shared" si="12"/>
        <v>0</v>
      </c>
      <c r="BB62" s="75">
        <f t="shared" si="13"/>
        <v>0</v>
      </c>
      <c r="BC62" s="75">
        <f t="shared" si="14"/>
        <v>0</v>
      </c>
      <c r="BD62" s="75">
        <f t="shared" si="15"/>
        <v>0</v>
      </c>
    </row>
    <row r="63" spans="1:56" ht="15" thickBot="1" x14ac:dyDescent="0.4">
      <c r="A63" s="9" t="s">
        <v>258</v>
      </c>
      <c r="B63" s="10" t="s">
        <v>64</v>
      </c>
      <c r="C63" s="10" t="s">
        <v>259</v>
      </c>
      <c r="D63" s="10"/>
      <c r="E63" s="10"/>
      <c r="F63" s="10"/>
      <c r="G63" s="10"/>
      <c r="H63" s="10">
        <v>1455</v>
      </c>
      <c r="I63" s="10"/>
      <c r="J63" s="10"/>
      <c r="K63" s="10"/>
      <c r="L63" s="10">
        <v>2779</v>
      </c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F63" s="102"/>
      <c r="AG63" s="9" t="s">
        <v>258</v>
      </c>
      <c r="AH63" s="10" t="s">
        <v>64</v>
      </c>
      <c r="AI63" s="10" t="s">
        <v>259</v>
      </c>
      <c r="AJ63" s="10">
        <v>2345</v>
      </c>
      <c r="AK63" s="10">
        <v>1455</v>
      </c>
      <c r="AL63" s="94">
        <v>2779</v>
      </c>
      <c r="AM63" s="10"/>
      <c r="AN63" s="10">
        <v>4559</v>
      </c>
      <c r="AO63" s="108"/>
      <c r="AP63" s="77">
        <f t="shared" si="17"/>
        <v>1</v>
      </c>
      <c r="AQ63" s="77">
        <f t="shared" si="18"/>
        <v>0</v>
      </c>
      <c r="AR63" s="77">
        <f t="shared" si="19"/>
        <v>0</v>
      </c>
      <c r="AS63" s="77">
        <f t="shared" si="20"/>
        <v>1</v>
      </c>
      <c r="AT63" s="77">
        <f t="shared" si="21"/>
        <v>0</v>
      </c>
      <c r="AU63" s="77">
        <f t="shared" si="22"/>
        <v>0</v>
      </c>
      <c r="AV63" s="79">
        <f t="shared" si="32"/>
        <v>1</v>
      </c>
      <c r="AW63" s="108"/>
      <c r="AX63" s="75">
        <f t="shared" si="9"/>
        <v>0</v>
      </c>
      <c r="AY63" s="75">
        <f t="shared" si="10"/>
        <v>0</v>
      </c>
      <c r="AZ63" s="75">
        <f t="shared" si="11"/>
        <v>0</v>
      </c>
      <c r="BA63" s="75">
        <f t="shared" si="12"/>
        <v>0</v>
      </c>
      <c r="BB63" s="75">
        <f t="shared" si="13"/>
        <v>0</v>
      </c>
      <c r="BC63" s="75">
        <f t="shared" si="14"/>
        <v>0</v>
      </c>
      <c r="BD63" s="75">
        <f t="shared" si="15"/>
        <v>0</v>
      </c>
    </row>
    <row r="64" spans="1:56" ht="15" thickBot="1" x14ac:dyDescent="0.4">
      <c r="A64" s="9" t="s">
        <v>260</v>
      </c>
      <c r="B64" s="10" t="s">
        <v>261</v>
      </c>
      <c r="C64" s="10" t="s">
        <v>262</v>
      </c>
      <c r="D64" s="10"/>
      <c r="E64" s="10"/>
      <c r="F64" s="10"/>
      <c r="G64" s="10"/>
      <c r="H64" s="10">
        <v>1466</v>
      </c>
      <c r="I64" s="10"/>
      <c r="J64" s="10"/>
      <c r="K64" s="10"/>
      <c r="L64" s="10">
        <v>2788</v>
      </c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F64" s="103"/>
      <c r="AG64" s="41" t="s">
        <v>260</v>
      </c>
      <c r="AH64" s="42" t="s">
        <v>261</v>
      </c>
      <c r="AI64" s="42" t="s">
        <v>262</v>
      </c>
      <c r="AJ64" s="42">
        <v>2346</v>
      </c>
      <c r="AK64" s="42">
        <v>1466</v>
      </c>
      <c r="AL64" s="95">
        <v>2788</v>
      </c>
      <c r="AM64" s="42"/>
      <c r="AN64" s="42">
        <v>4566</v>
      </c>
      <c r="AO64" s="109"/>
      <c r="AP64" s="80">
        <f t="shared" si="17"/>
        <v>0</v>
      </c>
      <c r="AQ64" s="80">
        <f t="shared" si="18"/>
        <v>0</v>
      </c>
      <c r="AR64" s="80">
        <f t="shared" si="19"/>
        <v>0</v>
      </c>
      <c r="AS64" s="80">
        <f t="shared" si="20"/>
        <v>0</v>
      </c>
      <c r="AT64" s="80">
        <f t="shared" si="21"/>
        <v>0</v>
      </c>
      <c r="AU64" s="80">
        <f t="shared" si="22"/>
        <v>0</v>
      </c>
      <c r="AV64" s="81">
        <f t="shared" si="32"/>
        <v>0</v>
      </c>
      <c r="AW64" s="109"/>
      <c r="AX64" s="75">
        <f t="shared" si="9"/>
        <v>0</v>
      </c>
      <c r="AY64" s="75">
        <f t="shared" si="10"/>
        <v>0</v>
      </c>
      <c r="AZ64" s="75">
        <f t="shared" si="11"/>
        <v>0</v>
      </c>
      <c r="BA64" s="75">
        <f t="shared" si="12"/>
        <v>0</v>
      </c>
      <c r="BB64" s="75">
        <f t="shared" si="13"/>
        <v>0</v>
      </c>
      <c r="BC64" s="75">
        <f t="shared" si="14"/>
        <v>0</v>
      </c>
      <c r="BD64" s="75">
        <f t="shared" si="15"/>
        <v>0</v>
      </c>
    </row>
    <row r="65" spans="1:56" ht="15" thickBot="1" x14ac:dyDescent="0.4">
      <c r="A65" s="9" t="s">
        <v>263</v>
      </c>
      <c r="B65" s="10" t="s">
        <v>264</v>
      </c>
      <c r="C65" s="10" t="s">
        <v>265</v>
      </c>
      <c r="D65" s="10"/>
      <c r="E65" s="10"/>
      <c r="F65" s="10"/>
      <c r="G65" s="10"/>
      <c r="H65" s="10">
        <v>1477</v>
      </c>
      <c r="I65" s="10"/>
      <c r="J65" s="10"/>
      <c r="K65" s="10"/>
      <c r="L65" s="10">
        <v>2799</v>
      </c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F65" s="110" t="s">
        <v>439</v>
      </c>
      <c r="AG65" s="39" t="s">
        <v>263</v>
      </c>
      <c r="AH65" s="40" t="s">
        <v>264</v>
      </c>
      <c r="AI65" s="40" t="s">
        <v>265</v>
      </c>
      <c r="AJ65" s="40">
        <v>2347</v>
      </c>
      <c r="AK65" s="40">
        <v>1477</v>
      </c>
      <c r="AL65" s="40">
        <v>2799</v>
      </c>
      <c r="AM65" s="40"/>
      <c r="AN65" s="93">
        <v>4577</v>
      </c>
      <c r="AO65" s="107">
        <f t="shared" ref="AO65" si="33">SUM(AP65:AV76)</f>
        <v>20</v>
      </c>
      <c r="AP65" s="75">
        <f t="shared" si="17"/>
        <v>0</v>
      </c>
      <c r="AQ65" s="75">
        <f t="shared" si="18"/>
        <v>0</v>
      </c>
      <c r="AR65" s="75">
        <f t="shared" si="19"/>
        <v>0</v>
      </c>
      <c r="AS65" s="75">
        <f t="shared" si="20"/>
        <v>0</v>
      </c>
      <c r="AT65" s="75">
        <f t="shared" si="21"/>
        <v>0</v>
      </c>
      <c r="AU65" s="75">
        <f t="shared" si="22"/>
        <v>0</v>
      </c>
      <c r="AV65" s="76">
        <f t="shared" si="32"/>
        <v>1</v>
      </c>
      <c r="AW65" s="107">
        <f t="shared" ref="AW65" si="34">SUM(AX65:BD76)</f>
        <v>11</v>
      </c>
      <c r="AX65" s="75">
        <f t="shared" si="9"/>
        <v>0</v>
      </c>
      <c r="AY65" s="75">
        <f t="shared" si="10"/>
        <v>0</v>
      </c>
      <c r="AZ65" s="75">
        <f t="shared" si="11"/>
        <v>0</v>
      </c>
      <c r="BA65" s="75">
        <f t="shared" si="12"/>
        <v>0</v>
      </c>
      <c r="BB65" s="75">
        <f t="shared" si="13"/>
        <v>0</v>
      </c>
      <c r="BC65" s="75">
        <f t="shared" si="14"/>
        <v>0</v>
      </c>
      <c r="BD65" s="75">
        <f t="shared" si="15"/>
        <v>0</v>
      </c>
    </row>
    <row r="66" spans="1:56" ht="15" thickBot="1" x14ac:dyDescent="0.4">
      <c r="A66" s="9" t="s">
        <v>266</v>
      </c>
      <c r="B66" s="10" t="s">
        <v>267</v>
      </c>
      <c r="C66" s="10" t="s">
        <v>268</v>
      </c>
      <c r="D66" s="10"/>
      <c r="E66" s="10"/>
      <c r="F66" s="10"/>
      <c r="G66" s="10"/>
      <c r="H66" s="10">
        <v>1488</v>
      </c>
      <c r="I66" s="10"/>
      <c r="J66" s="10"/>
      <c r="K66" s="10"/>
      <c r="L66" s="10">
        <v>2889</v>
      </c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F66" s="111"/>
      <c r="AG66" s="9" t="s">
        <v>266</v>
      </c>
      <c r="AH66" s="10" t="s">
        <v>267</v>
      </c>
      <c r="AI66" s="10" t="s">
        <v>268</v>
      </c>
      <c r="AJ66" s="10">
        <v>2348</v>
      </c>
      <c r="AK66" s="10">
        <v>1488</v>
      </c>
      <c r="AL66" s="10">
        <v>2889</v>
      </c>
      <c r="AM66" s="97"/>
      <c r="AN66" s="94">
        <v>4588</v>
      </c>
      <c r="AO66" s="108"/>
      <c r="AP66" s="77">
        <f t="shared" si="17"/>
        <v>0</v>
      </c>
      <c r="AQ66" s="77">
        <f t="shared" si="18"/>
        <v>0</v>
      </c>
      <c r="AR66" s="77">
        <f t="shared" si="19"/>
        <v>0</v>
      </c>
      <c r="AS66" s="77">
        <f t="shared" si="20"/>
        <v>1</v>
      </c>
      <c r="AT66" s="77">
        <f t="shared" si="21"/>
        <v>0</v>
      </c>
      <c r="AU66" s="77">
        <f t="shared" si="22"/>
        <v>0</v>
      </c>
      <c r="AV66" s="79">
        <f t="shared" si="32"/>
        <v>0</v>
      </c>
      <c r="AW66" s="108"/>
      <c r="AX66" s="75">
        <f t="shared" si="9"/>
        <v>0</v>
      </c>
      <c r="AY66" s="75">
        <f t="shared" si="10"/>
        <v>0</v>
      </c>
      <c r="AZ66" s="75">
        <f t="shared" si="11"/>
        <v>0</v>
      </c>
      <c r="BA66" s="75">
        <f t="shared" si="12"/>
        <v>1</v>
      </c>
      <c r="BB66" s="75">
        <f t="shared" si="13"/>
        <v>0</v>
      </c>
      <c r="BC66" s="75">
        <f t="shared" si="14"/>
        <v>0</v>
      </c>
      <c r="BD66" s="75">
        <f t="shared" si="15"/>
        <v>0</v>
      </c>
    </row>
    <row r="67" spans="1:56" ht="15" thickBot="1" x14ac:dyDescent="0.4">
      <c r="A67" s="9" t="s">
        <v>269</v>
      </c>
      <c r="B67" s="10" t="s">
        <v>270</v>
      </c>
      <c r="C67" s="10" t="s">
        <v>271</v>
      </c>
      <c r="D67" s="10"/>
      <c r="E67" s="10"/>
      <c r="F67" s="10"/>
      <c r="G67" s="10"/>
      <c r="H67" s="10">
        <v>1499</v>
      </c>
      <c r="I67" s="10"/>
      <c r="J67" s="10"/>
      <c r="K67" s="10"/>
      <c r="L67" s="10">
        <v>2899</v>
      </c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F67" s="111"/>
      <c r="AG67" s="9" t="s">
        <v>269</v>
      </c>
      <c r="AH67" s="10" t="s">
        <v>270</v>
      </c>
      <c r="AI67" s="97" t="s">
        <v>271</v>
      </c>
      <c r="AJ67" s="10">
        <v>2349</v>
      </c>
      <c r="AK67" s="10">
        <v>1499</v>
      </c>
      <c r="AL67" s="10">
        <v>2899</v>
      </c>
      <c r="AM67" s="10"/>
      <c r="AN67" s="94">
        <v>4599</v>
      </c>
      <c r="AO67" s="108"/>
      <c r="AP67" s="77">
        <f t="shared" si="17"/>
        <v>0</v>
      </c>
      <c r="AQ67" s="77">
        <f t="shared" si="18"/>
        <v>0</v>
      </c>
      <c r="AR67" s="77">
        <f t="shared" si="19"/>
        <v>0</v>
      </c>
      <c r="AS67" s="77">
        <f t="shared" si="20"/>
        <v>0</v>
      </c>
      <c r="AT67" s="77">
        <f t="shared" si="21"/>
        <v>0</v>
      </c>
      <c r="AU67" s="77">
        <f t="shared" si="22"/>
        <v>0</v>
      </c>
      <c r="AV67" s="79">
        <f t="shared" si="32"/>
        <v>0</v>
      </c>
      <c r="AW67" s="108"/>
      <c r="AX67" s="75">
        <f t="shared" si="9"/>
        <v>0</v>
      </c>
      <c r="AY67" s="75">
        <f t="shared" si="10"/>
        <v>0</v>
      </c>
      <c r="AZ67" s="75">
        <f t="shared" si="11"/>
        <v>0</v>
      </c>
      <c r="BA67" s="75">
        <f t="shared" si="12"/>
        <v>0</v>
      </c>
      <c r="BB67" s="75">
        <f t="shared" si="13"/>
        <v>0</v>
      </c>
      <c r="BC67" s="75">
        <f t="shared" si="14"/>
        <v>0</v>
      </c>
      <c r="BD67" s="75">
        <f t="shared" si="15"/>
        <v>0</v>
      </c>
    </row>
    <row r="68" spans="1:56" ht="15" thickBot="1" x14ac:dyDescent="0.4">
      <c r="A68" s="9" t="s">
        <v>272</v>
      </c>
      <c r="B68" s="10" t="s">
        <v>273</v>
      </c>
      <c r="C68" s="10" t="s">
        <v>274</v>
      </c>
      <c r="D68" s="10"/>
      <c r="E68" s="10"/>
      <c r="F68" s="10"/>
      <c r="G68" s="10"/>
      <c r="H68" s="10">
        <v>1556</v>
      </c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F68" s="111"/>
      <c r="AG68" s="9" t="s">
        <v>272</v>
      </c>
      <c r="AH68" s="10" t="s">
        <v>273</v>
      </c>
      <c r="AI68" s="10" t="s">
        <v>274</v>
      </c>
      <c r="AJ68" s="10">
        <v>2356</v>
      </c>
      <c r="AK68" s="10">
        <v>1556</v>
      </c>
      <c r="AL68" s="10"/>
      <c r="AM68" s="10"/>
      <c r="AN68" s="97">
        <v>4667</v>
      </c>
      <c r="AO68" s="108"/>
      <c r="AP68" s="77">
        <f t="shared" si="17"/>
        <v>0</v>
      </c>
      <c r="AQ68" s="77">
        <f t="shared" si="18"/>
        <v>1</v>
      </c>
      <c r="AR68" s="77">
        <f t="shared" si="19"/>
        <v>4</v>
      </c>
      <c r="AS68" s="77">
        <f t="shared" si="20"/>
        <v>0</v>
      </c>
      <c r="AT68" s="77">
        <f t="shared" si="21"/>
        <v>0</v>
      </c>
      <c r="AU68" s="77">
        <f t="shared" si="22"/>
        <v>0</v>
      </c>
      <c r="AV68" s="79">
        <f t="shared" si="32"/>
        <v>0</v>
      </c>
      <c r="AW68" s="108"/>
      <c r="AX68" s="75">
        <f t="shared" si="9"/>
        <v>0</v>
      </c>
      <c r="AY68" s="75">
        <f t="shared" si="10"/>
        <v>0</v>
      </c>
      <c r="AZ68" s="75">
        <f t="shared" si="11"/>
        <v>1</v>
      </c>
      <c r="BA68" s="75">
        <f t="shared" si="12"/>
        <v>0</v>
      </c>
      <c r="BB68" s="75">
        <f t="shared" si="13"/>
        <v>0</v>
      </c>
      <c r="BC68" s="75">
        <f t="shared" si="14"/>
        <v>0</v>
      </c>
      <c r="BD68" s="75">
        <f t="shared" si="15"/>
        <v>0</v>
      </c>
    </row>
    <row r="69" spans="1:56" ht="15" thickBot="1" x14ac:dyDescent="0.4">
      <c r="A69" s="9" t="s">
        <v>275</v>
      </c>
      <c r="B69" s="10" t="s">
        <v>276</v>
      </c>
      <c r="C69" s="10" t="s">
        <v>277</v>
      </c>
      <c r="D69" s="10"/>
      <c r="E69" s="10"/>
      <c r="F69" s="10"/>
      <c r="G69" s="10"/>
      <c r="H69" s="10">
        <v>1557</v>
      </c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F69" s="111"/>
      <c r="AG69" s="9" t="s">
        <v>275</v>
      </c>
      <c r="AH69" s="10" t="s">
        <v>276</v>
      </c>
      <c r="AI69" s="10" t="s">
        <v>277</v>
      </c>
      <c r="AJ69" s="10">
        <v>2357</v>
      </c>
      <c r="AK69" s="10">
        <v>1557</v>
      </c>
      <c r="AL69" s="10"/>
      <c r="AM69" s="10"/>
      <c r="AN69" s="94">
        <v>4668</v>
      </c>
      <c r="AO69" s="108"/>
      <c r="AP69" s="77">
        <f t="shared" si="17"/>
        <v>1</v>
      </c>
      <c r="AQ69" s="77">
        <f t="shared" si="18"/>
        <v>0</v>
      </c>
      <c r="AR69" s="77">
        <f t="shared" si="19"/>
        <v>0</v>
      </c>
      <c r="AS69" s="77">
        <f t="shared" si="20"/>
        <v>1</v>
      </c>
      <c r="AT69" s="77">
        <f t="shared" si="21"/>
        <v>0</v>
      </c>
      <c r="AU69" s="77">
        <f t="shared" si="22"/>
        <v>0</v>
      </c>
      <c r="AV69" s="79">
        <f t="shared" si="32"/>
        <v>0</v>
      </c>
      <c r="AW69" s="108"/>
      <c r="AX69" s="75">
        <f t="shared" si="9"/>
        <v>1</v>
      </c>
      <c r="AY69" s="75">
        <f t="shared" si="10"/>
        <v>0</v>
      </c>
      <c r="AZ69" s="75">
        <f t="shared" si="11"/>
        <v>0</v>
      </c>
      <c r="BA69" s="75">
        <f t="shared" si="12"/>
        <v>0</v>
      </c>
      <c r="BB69" s="75">
        <f t="shared" si="13"/>
        <v>0</v>
      </c>
      <c r="BC69" s="75">
        <f t="shared" si="14"/>
        <v>0</v>
      </c>
      <c r="BD69" s="75">
        <f t="shared" si="15"/>
        <v>0</v>
      </c>
    </row>
    <row r="70" spans="1:56" ht="15" thickBot="1" x14ac:dyDescent="0.4">
      <c r="A70" s="9" t="s">
        <v>278</v>
      </c>
      <c r="B70" s="10" t="s">
        <v>279</v>
      </c>
      <c r="C70" s="10" t="s">
        <v>280</v>
      </c>
      <c r="D70" s="10"/>
      <c r="E70" s="10"/>
      <c r="F70" s="10"/>
      <c r="G70" s="10"/>
      <c r="H70" s="10">
        <v>1558</v>
      </c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F70" s="111"/>
      <c r="AG70" s="9" t="s">
        <v>278</v>
      </c>
      <c r="AH70" s="10" t="s">
        <v>279</v>
      </c>
      <c r="AI70" s="97" t="s">
        <v>280</v>
      </c>
      <c r="AJ70" s="10">
        <v>2358</v>
      </c>
      <c r="AK70" s="10">
        <v>1558</v>
      </c>
      <c r="AL70" s="10"/>
      <c r="AM70" s="10"/>
      <c r="AN70" s="94">
        <v>4669</v>
      </c>
      <c r="AO70" s="108"/>
      <c r="AP70" s="77">
        <f t="shared" si="17"/>
        <v>1</v>
      </c>
      <c r="AQ70" s="77">
        <f t="shared" si="18"/>
        <v>0</v>
      </c>
      <c r="AR70" s="77">
        <f t="shared" si="19"/>
        <v>0</v>
      </c>
      <c r="AS70" s="77">
        <f t="shared" si="20"/>
        <v>0</v>
      </c>
      <c r="AT70" s="77">
        <f t="shared" si="21"/>
        <v>0</v>
      </c>
      <c r="AU70" s="77">
        <f t="shared" si="22"/>
        <v>0</v>
      </c>
      <c r="AV70" s="79">
        <f t="shared" si="32"/>
        <v>0</v>
      </c>
      <c r="AW70" s="108"/>
      <c r="AX70" s="75">
        <f t="shared" ref="AX70:AX112" si="35">COUNTIF($BG$9:$GA$18,AH70)</f>
        <v>1</v>
      </c>
      <c r="AY70" s="75">
        <f t="shared" ref="AY70:AY112" si="36">COUNTIF($BG$9:$GA$18,AI70)</f>
        <v>0</v>
      </c>
      <c r="AZ70" s="75">
        <f t="shared" ref="AZ70:AZ112" si="37">COUNTIF($BG$9:$GA$18,AJ70)</f>
        <v>0</v>
      </c>
      <c r="BA70" s="75">
        <f t="shared" ref="BA70:BA112" si="38">COUNTIF($BG$9:$GA$18,AK70)</f>
        <v>0</v>
      </c>
      <c r="BB70" s="75">
        <f t="shared" ref="BB70:BB112" si="39">COUNTIF($BG$9:$GA$18,AL70)</f>
        <v>0</v>
      </c>
      <c r="BC70" s="75">
        <f t="shared" ref="BC70:BC112" si="40">COUNTIF($BG$9:$GA$18,AM70)</f>
        <v>0</v>
      </c>
      <c r="BD70" s="75">
        <f t="shared" ref="BD70:BD112" si="41">COUNTIF($BG$9:$GA$18,AN70)</f>
        <v>0</v>
      </c>
    </row>
    <row r="71" spans="1:56" ht="15" thickBot="1" x14ac:dyDescent="0.4">
      <c r="A71" s="9" t="s">
        <v>281</v>
      </c>
      <c r="B71" s="10" t="s">
        <v>282</v>
      </c>
      <c r="C71" s="10" t="s">
        <v>283</v>
      </c>
      <c r="D71" s="10"/>
      <c r="E71" s="10"/>
      <c r="F71" s="10"/>
      <c r="G71" s="10"/>
      <c r="H71" s="10">
        <v>1559</v>
      </c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F71" s="111"/>
      <c r="AG71" s="9" t="s">
        <v>281</v>
      </c>
      <c r="AH71" s="10" t="s">
        <v>282</v>
      </c>
      <c r="AI71" s="10" t="s">
        <v>283</v>
      </c>
      <c r="AJ71" s="10">
        <v>2359</v>
      </c>
      <c r="AK71" s="10">
        <v>1559</v>
      </c>
      <c r="AL71" s="10"/>
      <c r="AM71" s="10"/>
      <c r="AN71" s="94">
        <v>4677</v>
      </c>
      <c r="AO71" s="108"/>
      <c r="AP71" s="77">
        <f t="shared" si="17"/>
        <v>1</v>
      </c>
      <c r="AQ71" s="77">
        <f t="shared" si="18"/>
        <v>0</v>
      </c>
      <c r="AR71" s="77">
        <f t="shared" si="19"/>
        <v>0</v>
      </c>
      <c r="AS71" s="77">
        <f t="shared" si="20"/>
        <v>0</v>
      </c>
      <c r="AT71" s="77">
        <f t="shared" si="21"/>
        <v>0</v>
      </c>
      <c r="AU71" s="77">
        <f t="shared" si="22"/>
        <v>0</v>
      </c>
      <c r="AV71" s="79">
        <f t="shared" si="32"/>
        <v>0</v>
      </c>
      <c r="AW71" s="108"/>
      <c r="AX71" s="75">
        <f t="shared" si="35"/>
        <v>0</v>
      </c>
      <c r="AY71" s="75">
        <f t="shared" si="36"/>
        <v>0</v>
      </c>
      <c r="AZ71" s="75">
        <f t="shared" si="37"/>
        <v>0</v>
      </c>
      <c r="BA71" s="75">
        <f t="shared" si="38"/>
        <v>0</v>
      </c>
      <c r="BB71" s="75">
        <f t="shared" si="39"/>
        <v>0</v>
      </c>
      <c r="BC71" s="75">
        <f t="shared" si="40"/>
        <v>0</v>
      </c>
      <c r="BD71" s="75">
        <f t="shared" si="41"/>
        <v>0</v>
      </c>
    </row>
    <row r="72" spans="1:56" ht="15" thickBot="1" x14ac:dyDescent="0.4">
      <c r="A72" s="9" t="s">
        <v>284</v>
      </c>
      <c r="B72" s="10" t="s">
        <v>71</v>
      </c>
      <c r="C72" s="10" t="s">
        <v>149</v>
      </c>
      <c r="D72" s="10"/>
      <c r="E72" s="10"/>
      <c r="F72" s="10"/>
      <c r="G72" s="10"/>
      <c r="H72" s="10">
        <v>1566</v>
      </c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F72" s="111"/>
      <c r="AG72" s="9" t="s">
        <v>284</v>
      </c>
      <c r="AH72" s="10" t="s">
        <v>71</v>
      </c>
      <c r="AI72" s="10" t="s">
        <v>149</v>
      </c>
      <c r="AJ72" s="10">
        <v>2367</v>
      </c>
      <c r="AK72" s="10">
        <v>1566</v>
      </c>
      <c r="AL72" s="10"/>
      <c r="AM72" s="10"/>
      <c r="AN72" s="94">
        <v>4688</v>
      </c>
      <c r="AO72" s="108"/>
      <c r="AP72" s="77">
        <f t="shared" si="17"/>
        <v>3</v>
      </c>
      <c r="AQ72" s="77">
        <f t="shared" si="18"/>
        <v>1</v>
      </c>
      <c r="AR72" s="77">
        <f t="shared" si="19"/>
        <v>1</v>
      </c>
      <c r="AS72" s="77">
        <f t="shared" si="20"/>
        <v>0</v>
      </c>
      <c r="AT72" s="77">
        <f t="shared" si="21"/>
        <v>0</v>
      </c>
      <c r="AU72" s="77">
        <f t="shared" si="22"/>
        <v>0</v>
      </c>
      <c r="AV72" s="79">
        <f t="shared" si="32"/>
        <v>0</v>
      </c>
      <c r="AW72" s="108"/>
      <c r="AX72" s="75">
        <f t="shared" si="35"/>
        <v>2</v>
      </c>
      <c r="AY72" s="75">
        <f t="shared" si="36"/>
        <v>0</v>
      </c>
      <c r="AZ72" s="75">
        <f t="shared" si="37"/>
        <v>1</v>
      </c>
      <c r="BA72" s="75">
        <f t="shared" si="38"/>
        <v>0</v>
      </c>
      <c r="BB72" s="75">
        <f t="shared" si="39"/>
        <v>0</v>
      </c>
      <c r="BC72" s="75">
        <f t="shared" si="40"/>
        <v>0</v>
      </c>
      <c r="BD72" s="75">
        <f t="shared" si="41"/>
        <v>0</v>
      </c>
    </row>
    <row r="73" spans="1:56" ht="15" thickBot="1" x14ac:dyDescent="0.4">
      <c r="A73" s="9" t="s">
        <v>285</v>
      </c>
      <c r="B73" s="10" t="s">
        <v>286</v>
      </c>
      <c r="C73" s="10" t="s">
        <v>287</v>
      </c>
      <c r="D73" s="10"/>
      <c r="E73" s="10"/>
      <c r="F73" s="10"/>
      <c r="G73" s="10"/>
      <c r="H73" s="10">
        <v>1588</v>
      </c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F73" s="111"/>
      <c r="AG73" s="9" t="s">
        <v>285</v>
      </c>
      <c r="AH73" s="10" t="s">
        <v>286</v>
      </c>
      <c r="AI73" s="10" t="s">
        <v>287</v>
      </c>
      <c r="AJ73" s="10">
        <v>2368</v>
      </c>
      <c r="AK73" s="10">
        <v>1588</v>
      </c>
      <c r="AL73" s="10"/>
      <c r="AM73" s="10"/>
      <c r="AN73" s="94">
        <v>4699</v>
      </c>
      <c r="AO73" s="108"/>
      <c r="AP73" s="77">
        <f t="shared" si="17"/>
        <v>0</v>
      </c>
      <c r="AQ73" s="77">
        <f t="shared" si="18"/>
        <v>0</v>
      </c>
      <c r="AR73" s="77">
        <f t="shared" si="19"/>
        <v>1</v>
      </c>
      <c r="AS73" s="77">
        <f t="shared" si="20"/>
        <v>0</v>
      </c>
      <c r="AT73" s="77">
        <f t="shared" si="21"/>
        <v>0</v>
      </c>
      <c r="AU73" s="77">
        <f t="shared" si="22"/>
        <v>0</v>
      </c>
      <c r="AV73" s="79">
        <f t="shared" si="32"/>
        <v>0</v>
      </c>
      <c r="AW73" s="108"/>
      <c r="AX73" s="75">
        <f t="shared" si="35"/>
        <v>0</v>
      </c>
      <c r="AY73" s="75">
        <f t="shared" si="36"/>
        <v>0</v>
      </c>
      <c r="AZ73" s="75">
        <f t="shared" si="37"/>
        <v>1</v>
      </c>
      <c r="BA73" s="75">
        <f t="shared" si="38"/>
        <v>0</v>
      </c>
      <c r="BB73" s="75">
        <f t="shared" si="39"/>
        <v>0</v>
      </c>
      <c r="BC73" s="75">
        <f t="shared" si="40"/>
        <v>0</v>
      </c>
      <c r="BD73" s="75">
        <f t="shared" si="41"/>
        <v>0</v>
      </c>
    </row>
    <row r="74" spans="1:56" ht="15" thickBot="1" x14ac:dyDescent="0.4">
      <c r="A74" s="9" t="s">
        <v>288</v>
      </c>
      <c r="B74" s="10" t="s">
        <v>289</v>
      </c>
      <c r="C74" s="10" t="s">
        <v>290</v>
      </c>
      <c r="D74" s="10"/>
      <c r="E74" s="10"/>
      <c r="F74" s="10"/>
      <c r="G74" s="10"/>
      <c r="H74" s="10">
        <v>1599</v>
      </c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F74" s="111"/>
      <c r="AG74" s="9" t="s">
        <v>288</v>
      </c>
      <c r="AH74" s="10" t="s">
        <v>289</v>
      </c>
      <c r="AI74" s="10" t="s">
        <v>290</v>
      </c>
      <c r="AJ74" s="10">
        <v>2369</v>
      </c>
      <c r="AK74" s="10">
        <v>1599</v>
      </c>
      <c r="AL74" s="10"/>
      <c r="AM74" s="10"/>
      <c r="AN74" s="94">
        <v>4778</v>
      </c>
      <c r="AO74" s="108"/>
      <c r="AP74" s="77">
        <f t="shared" si="17"/>
        <v>1</v>
      </c>
      <c r="AQ74" s="77">
        <f t="shared" si="18"/>
        <v>0</v>
      </c>
      <c r="AR74" s="77">
        <f t="shared" si="19"/>
        <v>0</v>
      </c>
      <c r="AS74" s="77">
        <f t="shared" si="20"/>
        <v>0</v>
      </c>
      <c r="AT74" s="77">
        <f t="shared" si="21"/>
        <v>0</v>
      </c>
      <c r="AU74" s="77">
        <f t="shared" si="22"/>
        <v>0</v>
      </c>
      <c r="AV74" s="79">
        <f t="shared" si="32"/>
        <v>0</v>
      </c>
      <c r="AW74" s="108"/>
      <c r="AX74" s="75">
        <f t="shared" si="35"/>
        <v>1</v>
      </c>
      <c r="AY74" s="75">
        <f t="shared" si="36"/>
        <v>0</v>
      </c>
      <c r="AZ74" s="75">
        <f t="shared" si="37"/>
        <v>0</v>
      </c>
      <c r="BA74" s="75">
        <f t="shared" si="38"/>
        <v>0</v>
      </c>
      <c r="BB74" s="75">
        <f t="shared" si="39"/>
        <v>0</v>
      </c>
      <c r="BC74" s="75">
        <f t="shared" si="40"/>
        <v>0</v>
      </c>
      <c r="BD74" s="75">
        <f t="shared" si="41"/>
        <v>0</v>
      </c>
    </row>
    <row r="75" spans="1:56" ht="15" thickBot="1" x14ac:dyDescent="0.4">
      <c r="A75" s="9" t="s">
        <v>291</v>
      </c>
      <c r="B75" s="10" t="s">
        <v>292</v>
      </c>
      <c r="C75" s="10" t="s">
        <v>293</v>
      </c>
      <c r="D75" s="10"/>
      <c r="E75" s="10"/>
      <c r="F75" s="10"/>
      <c r="G75" s="10"/>
      <c r="H75" s="10">
        <v>1667</v>
      </c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F75" s="111"/>
      <c r="AG75" s="9" t="s">
        <v>291</v>
      </c>
      <c r="AH75" s="10" t="s">
        <v>292</v>
      </c>
      <c r="AI75" s="10" t="s">
        <v>293</v>
      </c>
      <c r="AJ75" s="10">
        <v>2378</v>
      </c>
      <c r="AK75" s="10">
        <v>1667</v>
      </c>
      <c r="AL75" s="10"/>
      <c r="AM75" s="10"/>
      <c r="AN75" s="94">
        <v>4779</v>
      </c>
      <c r="AO75" s="108"/>
      <c r="AP75" s="77">
        <f t="shared" si="17"/>
        <v>0</v>
      </c>
      <c r="AQ75" s="77">
        <f t="shared" si="18"/>
        <v>0</v>
      </c>
      <c r="AR75" s="77">
        <f t="shared" si="19"/>
        <v>1</v>
      </c>
      <c r="AS75" s="77">
        <f t="shared" si="20"/>
        <v>0</v>
      </c>
      <c r="AT75" s="77">
        <f t="shared" si="21"/>
        <v>0</v>
      </c>
      <c r="AU75" s="77">
        <f t="shared" si="22"/>
        <v>0</v>
      </c>
      <c r="AV75" s="79">
        <f t="shared" si="32"/>
        <v>0</v>
      </c>
      <c r="AW75" s="108"/>
      <c r="AX75" s="75">
        <f t="shared" si="35"/>
        <v>0</v>
      </c>
      <c r="AY75" s="75">
        <f t="shared" si="36"/>
        <v>0</v>
      </c>
      <c r="AZ75" s="75">
        <f t="shared" si="37"/>
        <v>1</v>
      </c>
      <c r="BA75" s="75">
        <f t="shared" si="38"/>
        <v>0</v>
      </c>
      <c r="BB75" s="75">
        <f t="shared" si="39"/>
        <v>0</v>
      </c>
      <c r="BC75" s="75">
        <f t="shared" si="40"/>
        <v>0</v>
      </c>
      <c r="BD75" s="75">
        <f t="shared" si="41"/>
        <v>0</v>
      </c>
    </row>
    <row r="76" spans="1:56" ht="15" thickBot="1" x14ac:dyDescent="0.4">
      <c r="A76" s="9" t="s">
        <v>294</v>
      </c>
      <c r="B76" s="10" t="s">
        <v>295</v>
      </c>
      <c r="C76" s="10" t="s">
        <v>296</v>
      </c>
      <c r="D76" s="10"/>
      <c r="E76" s="10"/>
      <c r="F76" s="10"/>
      <c r="G76" s="10"/>
      <c r="H76" s="10">
        <v>1668</v>
      </c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F76" s="112"/>
      <c r="AG76" s="41" t="s">
        <v>294</v>
      </c>
      <c r="AH76" s="42" t="s">
        <v>295</v>
      </c>
      <c r="AI76" s="98" t="s">
        <v>296</v>
      </c>
      <c r="AJ76" s="42">
        <v>2379</v>
      </c>
      <c r="AK76" s="42">
        <v>1668</v>
      </c>
      <c r="AL76" s="42"/>
      <c r="AM76" s="42"/>
      <c r="AN76" s="95">
        <v>4788</v>
      </c>
      <c r="AO76" s="109"/>
      <c r="AP76" s="80">
        <f t="shared" si="17"/>
        <v>0</v>
      </c>
      <c r="AQ76" s="80">
        <f t="shared" si="18"/>
        <v>0</v>
      </c>
      <c r="AR76" s="80">
        <f t="shared" si="19"/>
        <v>0</v>
      </c>
      <c r="AS76" s="80">
        <f t="shared" si="20"/>
        <v>1</v>
      </c>
      <c r="AT76" s="80">
        <f t="shared" si="21"/>
        <v>0</v>
      </c>
      <c r="AU76" s="80">
        <f t="shared" si="22"/>
        <v>0</v>
      </c>
      <c r="AV76" s="81">
        <f t="shared" si="32"/>
        <v>0</v>
      </c>
      <c r="AW76" s="109"/>
      <c r="AX76" s="75">
        <f t="shared" si="35"/>
        <v>0</v>
      </c>
      <c r="AY76" s="75">
        <f t="shared" si="36"/>
        <v>0</v>
      </c>
      <c r="AZ76" s="75">
        <f t="shared" si="37"/>
        <v>0</v>
      </c>
      <c r="BA76" s="75">
        <f t="shared" si="38"/>
        <v>1</v>
      </c>
      <c r="BB76" s="75">
        <f t="shared" si="39"/>
        <v>0</v>
      </c>
      <c r="BC76" s="75">
        <f t="shared" si="40"/>
        <v>0</v>
      </c>
      <c r="BD76" s="75">
        <f t="shared" si="41"/>
        <v>0</v>
      </c>
    </row>
    <row r="77" spans="1:56" ht="15" thickBot="1" x14ac:dyDescent="0.4">
      <c r="A77" s="9" t="s">
        <v>297</v>
      </c>
      <c r="B77" s="10" t="s">
        <v>298</v>
      </c>
      <c r="C77" s="10" t="s">
        <v>299</v>
      </c>
      <c r="D77" s="10"/>
      <c r="E77" s="10"/>
      <c r="F77" s="10"/>
      <c r="G77" s="10"/>
      <c r="H77" s="10">
        <v>1669</v>
      </c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F77" s="113" t="s">
        <v>440</v>
      </c>
      <c r="AG77" s="39" t="s">
        <v>297</v>
      </c>
      <c r="AH77" s="40" t="s">
        <v>298</v>
      </c>
      <c r="AI77" s="40" t="s">
        <v>299</v>
      </c>
      <c r="AJ77" s="40">
        <v>2389</v>
      </c>
      <c r="AK77" s="93">
        <v>1669</v>
      </c>
      <c r="AL77" s="40"/>
      <c r="AM77" s="40"/>
      <c r="AN77" s="40">
        <v>4799</v>
      </c>
      <c r="AO77" s="107">
        <f t="shared" ref="AO77" si="42">SUM(AP77:AV88)</f>
        <v>15</v>
      </c>
      <c r="AP77" s="75">
        <f t="shared" si="17"/>
        <v>1</v>
      </c>
      <c r="AQ77" s="75">
        <f t="shared" si="18"/>
        <v>0</v>
      </c>
      <c r="AR77" s="75">
        <f t="shared" si="19"/>
        <v>0</v>
      </c>
      <c r="AS77" s="75">
        <f t="shared" si="20"/>
        <v>0</v>
      </c>
      <c r="AT77" s="75">
        <f t="shared" si="21"/>
        <v>0</v>
      </c>
      <c r="AU77" s="75">
        <f t="shared" si="22"/>
        <v>0</v>
      </c>
      <c r="AV77" s="76">
        <f t="shared" si="32"/>
        <v>0</v>
      </c>
      <c r="AW77" s="107">
        <f t="shared" ref="AW77" si="43">SUM(AX77:BD88)</f>
        <v>5</v>
      </c>
      <c r="AX77" s="75">
        <f t="shared" si="35"/>
        <v>0</v>
      </c>
      <c r="AY77" s="75">
        <f t="shared" si="36"/>
        <v>0</v>
      </c>
      <c r="AZ77" s="75">
        <f t="shared" si="37"/>
        <v>0</v>
      </c>
      <c r="BA77" s="75">
        <f t="shared" si="38"/>
        <v>0</v>
      </c>
      <c r="BB77" s="75">
        <f t="shared" si="39"/>
        <v>0</v>
      </c>
      <c r="BC77" s="75">
        <f t="shared" si="40"/>
        <v>0</v>
      </c>
      <c r="BD77" s="75">
        <f t="shared" si="41"/>
        <v>0</v>
      </c>
    </row>
    <row r="78" spans="1:56" ht="15" thickBot="1" x14ac:dyDescent="0.4">
      <c r="A78" s="9" t="s">
        <v>300</v>
      </c>
      <c r="B78" s="10" t="s">
        <v>301</v>
      </c>
      <c r="C78" s="10" t="s">
        <v>302</v>
      </c>
      <c r="D78" s="10"/>
      <c r="E78" s="10"/>
      <c r="F78" s="10"/>
      <c r="G78" s="10"/>
      <c r="H78" s="10">
        <v>1677</v>
      </c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F78" s="114"/>
      <c r="AG78" s="9" t="s">
        <v>300</v>
      </c>
      <c r="AH78" s="10" t="s">
        <v>301</v>
      </c>
      <c r="AI78" s="10" t="s">
        <v>302</v>
      </c>
      <c r="AJ78" s="10">
        <v>2456</v>
      </c>
      <c r="AK78" s="94">
        <v>1677</v>
      </c>
      <c r="AL78" s="10"/>
      <c r="AM78" s="10"/>
      <c r="AN78" s="10">
        <v>4889</v>
      </c>
      <c r="AO78" s="108"/>
      <c r="AP78" s="77">
        <f t="shared" si="17"/>
        <v>0</v>
      </c>
      <c r="AQ78" s="77">
        <f t="shared" si="18"/>
        <v>0</v>
      </c>
      <c r="AR78" s="77">
        <f t="shared" si="19"/>
        <v>1</v>
      </c>
      <c r="AS78" s="77">
        <f t="shared" si="20"/>
        <v>0</v>
      </c>
      <c r="AT78" s="77">
        <f t="shared" si="21"/>
        <v>0</v>
      </c>
      <c r="AU78" s="77">
        <f t="shared" si="22"/>
        <v>0</v>
      </c>
      <c r="AV78" s="79">
        <f t="shared" si="32"/>
        <v>0</v>
      </c>
      <c r="AW78" s="108"/>
      <c r="AX78" s="75">
        <f t="shared" si="35"/>
        <v>0</v>
      </c>
      <c r="AY78" s="75">
        <f t="shared" si="36"/>
        <v>0</v>
      </c>
      <c r="AZ78" s="75">
        <f t="shared" si="37"/>
        <v>1</v>
      </c>
      <c r="BA78" s="75">
        <f t="shared" si="38"/>
        <v>0</v>
      </c>
      <c r="BB78" s="75">
        <f t="shared" si="39"/>
        <v>0</v>
      </c>
      <c r="BC78" s="75">
        <f t="shared" si="40"/>
        <v>0</v>
      </c>
      <c r="BD78" s="75">
        <f t="shared" si="41"/>
        <v>0</v>
      </c>
    </row>
    <row r="79" spans="1:56" ht="15" thickBot="1" x14ac:dyDescent="0.4">
      <c r="A79" s="9" t="s">
        <v>303</v>
      </c>
      <c r="B79" s="10" t="s">
        <v>304</v>
      </c>
      <c r="C79" s="10" t="s">
        <v>305</v>
      </c>
      <c r="D79" s="10"/>
      <c r="E79" s="10"/>
      <c r="F79" s="10"/>
      <c r="G79" s="10"/>
      <c r="H79" s="10">
        <v>1688</v>
      </c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F79" s="114"/>
      <c r="AG79" s="9" t="s">
        <v>303</v>
      </c>
      <c r="AH79" s="10" t="s">
        <v>304</v>
      </c>
      <c r="AI79" s="10" t="s">
        <v>305</v>
      </c>
      <c r="AJ79" s="10">
        <v>2457</v>
      </c>
      <c r="AK79" s="94">
        <v>1688</v>
      </c>
      <c r="AL79" s="10"/>
      <c r="AM79" s="10"/>
      <c r="AN79" s="10">
        <v>4899</v>
      </c>
      <c r="AO79" s="108"/>
      <c r="AP79" s="77">
        <f t="shared" si="17"/>
        <v>0</v>
      </c>
      <c r="AQ79" s="77">
        <f t="shared" si="18"/>
        <v>0</v>
      </c>
      <c r="AR79" s="77">
        <f t="shared" si="19"/>
        <v>0</v>
      </c>
      <c r="AS79" s="77">
        <f t="shared" si="20"/>
        <v>0</v>
      </c>
      <c r="AT79" s="77">
        <f t="shared" si="21"/>
        <v>0</v>
      </c>
      <c r="AU79" s="77">
        <f t="shared" si="22"/>
        <v>0</v>
      </c>
      <c r="AV79" s="79">
        <f t="shared" si="32"/>
        <v>0</v>
      </c>
      <c r="AW79" s="108"/>
      <c r="AX79" s="75">
        <f t="shared" si="35"/>
        <v>0</v>
      </c>
      <c r="AY79" s="75">
        <f t="shared" si="36"/>
        <v>0</v>
      </c>
      <c r="AZ79" s="75">
        <f t="shared" si="37"/>
        <v>0</v>
      </c>
      <c r="BA79" s="75">
        <f t="shared" si="38"/>
        <v>0</v>
      </c>
      <c r="BB79" s="75">
        <f t="shared" si="39"/>
        <v>0</v>
      </c>
      <c r="BC79" s="75">
        <f t="shared" si="40"/>
        <v>0</v>
      </c>
      <c r="BD79" s="75">
        <f t="shared" si="41"/>
        <v>0</v>
      </c>
    </row>
    <row r="80" spans="1:56" ht="15" thickBot="1" x14ac:dyDescent="0.4">
      <c r="A80" s="9" t="s">
        <v>306</v>
      </c>
      <c r="B80" s="10" t="s">
        <v>307</v>
      </c>
      <c r="C80" s="10" t="s">
        <v>308</v>
      </c>
      <c r="D80" s="10"/>
      <c r="E80" s="10"/>
      <c r="F80" s="10"/>
      <c r="G80" s="10"/>
      <c r="H80" s="10">
        <v>1699</v>
      </c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F80" s="114"/>
      <c r="AG80" s="9" t="s">
        <v>306</v>
      </c>
      <c r="AH80" s="10" t="s">
        <v>307</v>
      </c>
      <c r="AI80" s="10" t="s">
        <v>308</v>
      </c>
      <c r="AJ80" s="10">
        <v>2458</v>
      </c>
      <c r="AK80" s="94">
        <v>1699</v>
      </c>
      <c r="AL80" s="10"/>
      <c r="AM80" s="10"/>
      <c r="AN80" s="10">
        <v>5567</v>
      </c>
      <c r="AO80" s="108"/>
      <c r="AP80" s="77">
        <f t="shared" si="17"/>
        <v>1</v>
      </c>
      <c r="AQ80" s="77">
        <f t="shared" si="18"/>
        <v>0</v>
      </c>
      <c r="AR80" s="77">
        <f t="shared" si="19"/>
        <v>1</v>
      </c>
      <c r="AS80" s="77">
        <f t="shared" si="20"/>
        <v>0</v>
      </c>
      <c r="AT80" s="77">
        <f t="shared" si="21"/>
        <v>0</v>
      </c>
      <c r="AU80" s="77">
        <f t="shared" si="22"/>
        <v>0</v>
      </c>
      <c r="AV80" s="79">
        <f t="shared" si="32"/>
        <v>0</v>
      </c>
      <c r="AW80" s="108"/>
      <c r="AX80" s="75">
        <f t="shared" si="35"/>
        <v>1</v>
      </c>
      <c r="AY80" s="75">
        <f t="shared" si="36"/>
        <v>0</v>
      </c>
      <c r="AZ80" s="75">
        <f t="shared" si="37"/>
        <v>0</v>
      </c>
      <c r="BA80" s="75">
        <f t="shared" si="38"/>
        <v>0</v>
      </c>
      <c r="BB80" s="75">
        <f t="shared" si="39"/>
        <v>0</v>
      </c>
      <c r="BC80" s="75">
        <f t="shared" si="40"/>
        <v>0</v>
      </c>
      <c r="BD80" s="75">
        <f t="shared" si="41"/>
        <v>0</v>
      </c>
    </row>
    <row r="81" spans="1:56" ht="15" thickBot="1" x14ac:dyDescent="0.4">
      <c r="A81" s="9" t="s">
        <v>309</v>
      </c>
      <c r="B81" s="10" t="s">
        <v>310</v>
      </c>
      <c r="C81" s="10" t="s">
        <v>311</v>
      </c>
      <c r="D81" s="10"/>
      <c r="E81" s="10"/>
      <c r="F81" s="10"/>
      <c r="G81" s="10"/>
      <c r="H81" s="10">
        <v>1778</v>
      </c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F81" s="114"/>
      <c r="AG81" s="9" t="s">
        <v>309</v>
      </c>
      <c r="AH81" s="10" t="s">
        <v>310</v>
      </c>
      <c r="AI81" s="97" t="s">
        <v>311</v>
      </c>
      <c r="AJ81" s="10">
        <v>2459</v>
      </c>
      <c r="AK81" s="94">
        <v>1778</v>
      </c>
      <c r="AL81" s="10"/>
      <c r="AM81" s="10"/>
      <c r="AN81" s="10">
        <v>5568</v>
      </c>
      <c r="AO81" s="108"/>
      <c r="AP81" s="77">
        <f t="shared" ref="AP81:AP112" si="44">COUNTIF($BG$6:$GA$28,AH81)</f>
        <v>0</v>
      </c>
      <c r="AQ81" s="77">
        <f t="shared" ref="AQ81:AQ112" si="45">COUNTIF($BG$6:$GA$28,AI81)</f>
        <v>0</v>
      </c>
      <c r="AR81" s="77">
        <f t="shared" ref="AR81:AR112" si="46">COUNTIF($BG$6:$GA$28,AJ81)</f>
        <v>0</v>
      </c>
      <c r="AS81" s="77">
        <f t="shared" ref="AS81:AS112" si="47">COUNTIF($BG$6:$GA$28,AK81)</f>
        <v>0</v>
      </c>
      <c r="AT81" s="77">
        <f t="shared" ref="AT81:AT112" si="48">COUNTIF($BG$6:$GA$28,AL81)</f>
        <v>0</v>
      </c>
      <c r="AU81" s="77">
        <f t="shared" ref="AU81:AU112" si="49">COUNTIF($BG$6:$GA$28,AM81)</f>
        <v>0</v>
      </c>
      <c r="AV81" s="79">
        <f t="shared" si="32"/>
        <v>0</v>
      </c>
      <c r="AW81" s="108"/>
      <c r="AX81" s="75">
        <f t="shared" si="35"/>
        <v>0</v>
      </c>
      <c r="AY81" s="75">
        <f t="shared" si="36"/>
        <v>0</v>
      </c>
      <c r="AZ81" s="75">
        <f t="shared" si="37"/>
        <v>0</v>
      </c>
      <c r="BA81" s="75">
        <f t="shared" si="38"/>
        <v>0</v>
      </c>
      <c r="BB81" s="75">
        <f t="shared" si="39"/>
        <v>0</v>
      </c>
      <c r="BC81" s="75">
        <f t="shared" si="40"/>
        <v>0</v>
      </c>
      <c r="BD81" s="75">
        <f t="shared" si="41"/>
        <v>0</v>
      </c>
    </row>
    <row r="82" spans="1:56" ht="15" thickBot="1" x14ac:dyDescent="0.4">
      <c r="A82" s="9" t="s">
        <v>312</v>
      </c>
      <c r="B82" s="10" t="s">
        <v>313</v>
      </c>
      <c r="C82" s="10" t="s">
        <v>314</v>
      </c>
      <c r="D82" s="10"/>
      <c r="E82" s="10"/>
      <c r="F82" s="10"/>
      <c r="G82" s="10"/>
      <c r="H82" s="10">
        <v>1779</v>
      </c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F82" s="114"/>
      <c r="AG82" s="9" t="s">
        <v>312</v>
      </c>
      <c r="AH82" s="10" t="s">
        <v>313</v>
      </c>
      <c r="AI82" s="10" t="s">
        <v>314</v>
      </c>
      <c r="AJ82" s="10">
        <v>2467</v>
      </c>
      <c r="AK82" s="94">
        <v>1779</v>
      </c>
      <c r="AL82" s="10"/>
      <c r="AM82" s="10"/>
      <c r="AN82" s="10">
        <v>5569</v>
      </c>
      <c r="AO82" s="108"/>
      <c r="AP82" s="77">
        <f t="shared" si="44"/>
        <v>1</v>
      </c>
      <c r="AQ82" s="77">
        <f t="shared" si="45"/>
        <v>1</v>
      </c>
      <c r="AR82" s="77">
        <f t="shared" si="46"/>
        <v>0</v>
      </c>
      <c r="AS82" s="77">
        <f t="shared" si="47"/>
        <v>0</v>
      </c>
      <c r="AT82" s="77">
        <f t="shared" si="48"/>
        <v>0</v>
      </c>
      <c r="AU82" s="77">
        <f t="shared" si="49"/>
        <v>0</v>
      </c>
      <c r="AV82" s="79">
        <f t="shared" si="32"/>
        <v>1</v>
      </c>
      <c r="AW82" s="108"/>
      <c r="AX82" s="75">
        <f t="shared" si="35"/>
        <v>1</v>
      </c>
      <c r="AY82" s="75">
        <f t="shared" si="36"/>
        <v>0</v>
      </c>
      <c r="AZ82" s="75">
        <f t="shared" si="37"/>
        <v>0</v>
      </c>
      <c r="BA82" s="75">
        <f t="shared" si="38"/>
        <v>0</v>
      </c>
      <c r="BB82" s="75">
        <f t="shared" si="39"/>
        <v>0</v>
      </c>
      <c r="BC82" s="75">
        <f t="shared" si="40"/>
        <v>0</v>
      </c>
      <c r="BD82" s="75">
        <f t="shared" si="41"/>
        <v>0</v>
      </c>
    </row>
    <row r="83" spans="1:56" ht="15" thickBot="1" x14ac:dyDescent="0.4">
      <c r="A83" s="9" t="s">
        <v>315</v>
      </c>
      <c r="B83" s="10" t="s">
        <v>135</v>
      </c>
      <c r="C83" s="10" t="s">
        <v>316</v>
      </c>
      <c r="D83" s="10"/>
      <c r="E83" s="10"/>
      <c r="F83" s="10"/>
      <c r="G83" s="10"/>
      <c r="H83" s="10">
        <v>1788</v>
      </c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F83" s="114"/>
      <c r="AG83" s="9" t="s">
        <v>315</v>
      </c>
      <c r="AH83" s="10" t="s">
        <v>135</v>
      </c>
      <c r="AI83" s="10" t="s">
        <v>316</v>
      </c>
      <c r="AJ83" s="10">
        <v>2468</v>
      </c>
      <c r="AK83" s="94">
        <v>1788</v>
      </c>
      <c r="AL83" s="10"/>
      <c r="AM83" s="10"/>
      <c r="AN83" s="10">
        <v>5578</v>
      </c>
      <c r="AO83" s="108"/>
      <c r="AP83" s="77">
        <f t="shared" si="44"/>
        <v>2</v>
      </c>
      <c r="AQ83" s="77">
        <f t="shared" si="45"/>
        <v>0</v>
      </c>
      <c r="AR83" s="77">
        <f t="shared" si="46"/>
        <v>0</v>
      </c>
      <c r="AS83" s="77">
        <f t="shared" si="47"/>
        <v>0</v>
      </c>
      <c r="AT83" s="77">
        <f t="shared" si="48"/>
        <v>0</v>
      </c>
      <c r="AU83" s="77">
        <f t="shared" si="49"/>
        <v>0</v>
      </c>
      <c r="AV83" s="79">
        <f t="shared" si="32"/>
        <v>1</v>
      </c>
      <c r="AW83" s="108"/>
      <c r="AX83" s="75">
        <f t="shared" si="35"/>
        <v>0</v>
      </c>
      <c r="AY83" s="75">
        <f t="shared" si="36"/>
        <v>0</v>
      </c>
      <c r="AZ83" s="75">
        <f t="shared" si="37"/>
        <v>0</v>
      </c>
      <c r="BA83" s="75">
        <f t="shared" si="38"/>
        <v>0</v>
      </c>
      <c r="BB83" s="75">
        <f t="shared" si="39"/>
        <v>0</v>
      </c>
      <c r="BC83" s="75">
        <f t="shared" si="40"/>
        <v>0</v>
      </c>
      <c r="BD83" s="75">
        <f t="shared" si="41"/>
        <v>0</v>
      </c>
    </row>
    <row r="84" spans="1:56" ht="15" thickBot="1" x14ac:dyDescent="0.4">
      <c r="A84" s="9" t="s">
        <v>317</v>
      </c>
      <c r="B84" s="10" t="s">
        <v>318</v>
      </c>
      <c r="C84" s="10" t="s">
        <v>319</v>
      </c>
      <c r="D84" s="10"/>
      <c r="E84" s="10"/>
      <c r="F84" s="10"/>
      <c r="G84" s="10"/>
      <c r="H84" s="10">
        <v>1799</v>
      </c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F84" s="114"/>
      <c r="AG84" s="9" t="s">
        <v>317</v>
      </c>
      <c r="AH84" s="97" t="s">
        <v>318</v>
      </c>
      <c r="AI84" s="10" t="s">
        <v>319</v>
      </c>
      <c r="AJ84" s="10">
        <v>2469</v>
      </c>
      <c r="AK84" s="94">
        <v>1799</v>
      </c>
      <c r="AL84" s="10"/>
      <c r="AM84" s="10"/>
      <c r="AN84" s="10">
        <v>5579</v>
      </c>
      <c r="AO84" s="108"/>
      <c r="AP84" s="77">
        <f t="shared" si="44"/>
        <v>0</v>
      </c>
      <c r="AQ84" s="77">
        <f t="shared" si="45"/>
        <v>0</v>
      </c>
      <c r="AR84" s="77">
        <f t="shared" si="46"/>
        <v>0</v>
      </c>
      <c r="AS84" s="77">
        <f t="shared" si="47"/>
        <v>0</v>
      </c>
      <c r="AT84" s="77">
        <f t="shared" si="48"/>
        <v>0</v>
      </c>
      <c r="AU84" s="77">
        <f t="shared" si="49"/>
        <v>0</v>
      </c>
      <c r="AV84" s="79">
        <f t="shared" si="32"/>
        <v>0</v>
      </c>
      <c r="AW84" s="108"/>
      <c r="AX84" s="75">
        <f t="shared" si="35"/>
        <v>0</v>
      </c>
      <c r="AY84" s="75">
        <f t="shared" si="36"/>
        <v>0</v>
      </c>
      <c r="AZ84" s="75">
        <f t="shared" si="37"/>
        <v>0</v>
      </c>
      <c r="BA84" s="75">
        <f t="shared" si="38"/>
        <v>0</v>
      </c>
      <c r="BB84" s="75">
        <f t="shared" si="39"/>
        <v>0</v>
      </c>
      <c r="BC84" s="75">
        <f t="shared" si="40"/>
        <v>0</v>
      </c>
      <c r="BD84" s="75">
        <f t="shared" si="41"/>
        <v>0</v>
      </c>
    </row>
    <row r="85" spans="1:56" ht="15" thickBot="1" x14ac:dyDescent="0.4">
      <c r="A85" s="9" t="s">
        <v>320</v>
      </c>
      <c r="B85" s="10" t="s">
        <v>321</v>
      </c>
      <c r="C85" s="10" t="s">
        <v>322</v>
      </c>
      <c r="D85" s="10"/>
      <c r="E85" s="10"/>
      <c r="F85" s="10"/>
      <c r="G85" s="10"/>
      <c r="H85" s="10">
        <v>1889</v>
      </c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F85" s="114"/>
      <c r="AG85" s="9" t="s">
        <v>320</v>
      </c>
      <c r="AH85" s="10" t="s">
        <v>321</v>
      </c>
      <c r="AI85" s="10" t="s">
        <v>322</v>
      </c>
      <c r="AJ85" s="10">
        <v>2478</v>
      </c>
      <c r="AK85" s="97">
        <v>1889</v>
      </c>
      <c r="AL85" s="10"/>
      <c r="AM85" s="10"/>
      <c r="AN85" s="10">
        <v>5589</v>
      </c>
      <c r="AO85" s="108"/>
      <c r="AP85" s="77">
        <f t="shared" si="44"/>
        <v>0</v>
      </c>
      <c r="AQ85" s="77">
        <f t="shared" si="45"/>
        <v>0</v>
      </c>
      <c r="AR85" s="77">
        <f t="shared" si="46"/>
        <v>0</v>
      </c>
      <c r="AS85" s="77">
        <f t="shared" si="47"/>
        <v>0</v>
      </c>
      <c r="AT85" s="77">
        <f t="shared" si="48"/>
        <v>0</v>
      </c>
      <c r="AU85" s="77">
        <f t="shared" si="49"/>
        <v>0</v>
      </c>
      <c r="AV85" s="79">
        <f t="shared" si="32"/>
        <v>1</v>
      </c>
      <c r="AW85" s="108"/>
      <c r="AX85" s="75">
        <f t="shared" si="35"/>
        <v>0</v>
      </c>
      <c r="AY85" s="75">
        <f t="shared" si="36"/>
        <v>0</v>
      </c>
      <c r="AZ85" s="75">
        <f t="shared" si="37"/>
        <v>0</v>
      </c>
      <c r="BA85" s="75">
        <f t="shared" si="38"/>
        <v>0</v>
      </c>
      <c r="BB85" s="75">
        <f t="shared" si="39"/>
        <v>0</v>
      </c>
      <c r="BC85" s="75">
        <f t="shared" si="40"/>
        <v>0</v>
      </c>
      <c r="BD85" s="75">
        <f t="shared" si="41"/>
        <v>0</v>
      </c>
    </row>
    <row r="86" spans="1:56" ht="15" thickBot="1" x14ac:dyDescent="0.4">
      <c r="A86" s="9" t="s">
        <v>323</v>
      </c>
      <c r="B86" s="10" t="s">
        <v>324</v>
      </c>
      <c r="C86" s="10" t="s">
        <v>325</v>
      </c>
      <c r="D86" s="10"/>
      <c r="E86" s="10"/>
      <c r="F86" s="10"/>
      <c r="G86" s="10"/>
      <c r="H86" s="10">
        <v>1899</v>
      </c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F86" s="114"/>
      <c r="AG86" s="9" t="s">
        <v>323</v>
      </c>
      <c r="AH86" s="10" t="s">
        <v>324</v>
      </c>
      <c r="AI86" s="10" t="s">
        <v>325</v>
      </c>
      <c r="AJ86" s="10">
        <v>2479</v>
      </c>
      <c r="AK86" s="94">
        <v>1899</v>
      </c>
      <c r="AL86" s="10"/>
      <c r="AM86" s="10"/>
      <c r="AN86" s="10">
        <v>5667</v>
      </c>
      <c r="AO86" s="108"/>
      <c r="AP86" s="77">
        <f t="shared" si="44"/>
        <v>0</v>
      </c>
      <c r="AQ86" s="77">
        <f t="shared" si="45"/>
        <v>0</v>
      </c>
      <c r="AR86" s="77">
        <f t="shared" si="46"/>
        <v>0</v>
      </c>
      <c r="AS86" s="77">
        <f t="shared" si="47"/>
        <v>0</v>
      </c>
      <c r="AT86" s="77">
        <f t="shared" si="48"/>
        <v>0</v>
      </c>
      <c r="AU86" s="77">
        <f t="shared" si="49"/>
        <v>0</v>
      </c>
      <c r="AV86" s="79">
        <f t="shared" si="32"/>
        <v>1</v>
      </c>
      <c r="AW86" s="108"/>
      <c r="AX86" s="75">
        <f t="shared" si="35"/>
        <v>0</v>
      </c>
      <c r="AY86" s="75">
        <f t="shared" si="36"/>
        <v>0</v>
      </c>
      <c r="AZ86" s="75">
        <f t="shared" si="37"/>
        <v>0</v>
      </c>
      <c r="BA86" s="75">
        <f t="shared" si="38"/>
        <v>0</v>
      </c>
      <c r="BB86" s="75">
        <f t="shared" si="39"/>
        <v>0</v>
      </c>
      <c r="BC86" s="75">
        <f t="shared" si="40"/>
        <v>0</v>
      </c>
      <c r="BD86" s="75">
        <f t="shared" si="41"/>
        <v>0</v>
      </c>
    </row>
    <row r="87" spans="1:56" ht="15" thickBot="1" x14ac:dyDescent="0.4">
      <c r="A87" s="9" t="s">
        <v>326</v>
      </c>
      <c r="B87" s="10" t="s">
        <v>327</v>
      </c>
      <c r="C87" s="10" t="s">
        <v>97</v>
      </c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F87" s="114"/>
      <c r="AG87" s="9" t="s">
        <v>326</v>
      </c>
      <c r="AH87" s="10" t="s">
        <v>327</v>
      </c>
      <c r="AI87" s="10" t="s">
        <v>97</v>
      </c>
      <c r="AJ87" s="10">
        <v>2489</v>
      </c>
      <c r="AK87" s="10"/>
      <c r="AL87" s="10"/>
      <c r="AM87" s="10"/>
      <c r="AN87" s="10">
        <v>5668</v>
      </c>
      <c r="AO87" s="108"/>
      <c r="AP87" s="77">
        <f t="shared" si="44"/>
        <v>0</v>
      </c>
      <c r="AQ87" s="77">
        <f t="shared" si="45"/>
        <v>1</v>
      </c>
      <c r="AR87" s="77">
        <f t="shared" si="46"/>
        <v>2</v>
      </c>
      <c r="AS87" s="77">
        <f t="shared" si="47"/>
        <v>0</v>
      </c>
      <c r="AT87" s="77">
        <f t="shared" si="48"/>
        <v>0</v>
      </c>
      <c r="AU87" s="77">
        <f t="shared" si="49"/>
        <v>0</v>
      </c>
      <c r="AV87" s="79">
        <f t="shared" si="32"/>
        <v>0</v>
      </c>
      <c r="AW87" s="108"/>
      <c r="AX87" s="75">
        <f t="shared" si="35"/>
        <v>0</v>
      </c>
      <c r="AY87" s="75">
        <f t="shared" si="36"/>
        <v>1</v>
      </c>
      <c r="AZ87" s="75">
        <f t="shared" si="37"/>
        <v>1</v>
      </c>
      <c r="BA87" s="75">
        <f t="shared" si="38"/>
        <v>0</v>
      </c>
      <c r="BB87" s="75">
        <f t="shared" si="39"/>
        <v>0</v>
      </c>
      <c r="BC87" s="75">
        <f t="shared" si="40"/>
        <v>0</v>
      </c>
      <c r="BD87" s="75">
        <f t="shared" si="41"/>
        <v>0</v>
      </c>
    </row>
    <row r="88" spans="1:56" ht="15" thickBot="1" x14ac:dyDescent="0.4">
      <c r="A88" s="9" t="s">
        <v>328</v>
      </c>
      <c r="B88" s="10" t="s">
        <v>329</v>
      </c>
      <c r="C88" s="10" t="s">
        <v>330</v>
      </c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F88" s="115"/>
      <c r="AG88" s="41" t="s">
        <v>328</v>
      </c>
      <c r="AH88" s="98" t="s">
        <v>329</v>
      </c>
      <c r="AI88" s="42" t="s">
        <v>330</v>
      </c>
      <c r="AJ88" s="42">
        <v>2567</v>
      </c>
      <c r="AK88" s="42"/>
      <c r="AL88" s="42"/>
      <c r="AM88" s="42"/>
      <c r="AN88" s="42">
        <v>5669</v>
      </c>
      <c r="AO88" s="109"/>
      <c r="AP88" s="80">
        <f t="shared" si="44"/>
        <v>0</v>
      </c>
      <c r="AQ88" s="80">
        <f t="shared" si="45"/>
        <v>0</v>
      </c>
      <c r="AR88" s="80">
        <f t="shared" si="46"/>
        <v>0</v>
      </c>
      <c r="AS88" s="80">
        <f t="shared" si="47"/>
        <v>0</v>
      </c>
      <c r="AT88" s="80">
        <f t="shared" si="48"/>
        <v>0</v>
      </c>
      <c r="AU88" s="80">
        <f t="shared" si="49"/>
        <v>0</v>
      </c>
      <c r="AV88" s="81">
        <f t="shared" si="32"/>
        <v>0</v>
      </c>
      <c r="AW88" s="109"/>
      <c r="AX88" s="75">
        <f t="shared" si="35"/>
        <v>0</v>
      </c>
      <c r="AY88" s="75">
        <f t="shared" si="36"/>
        <v>0</v>
      </c>
      <c r="AZ88" s="75">
        <f t="shared" si="37"/>
        <v>0</v>
      </c>
      <c r="BA88" s="75">
        <f t="shared" si="38"/>
        <v>0</v>
      </c>
      <c r="BB88" s="75">
        <f t="shared" si="39"/>
        <v>0</v>
      </c>
      <c r="BC88" s="75">
        <f t="shared" si="40"/>
        <v>0</v>
      </c>
      <c r="BD88" s="75">
        <f t="shared" si="41"/>
        <v>0</v>
      </c>
    </row>
    <row r="89" spans="1:56" ht="15" thickBot="1" x14ac:dyDescent="0.4">
      <c r="A89" s="9" t="s">
        <v>331</v>
      </c>
      <c r="B89" s="10"/>
      <c r="C89" s="10" t="s">
        <v>332</v>
      </c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F89" s="101" t="s">
        <v>441</v>
      </c>
      <c r="AG89" s="39" t="s">
        <v>331</v>
      </c>
      <c r="AH89" s="40"/>
      <c r="AI89" s="40" t="s">
        <v>332</v>
      </c>
      <c r="AJ89" s="40">
        <v>2568</v>
      </c>
      <c r="AK89" s="40"/>
      <c r="AL89" s="40"/>
      <c r="AM89" s="40"/>
      <c r="AN89" s="40">
        <v>5677</v>
      </c>
      <c r="AO89" s="107">
        <f t="shared" ref="AO89" si="50">SUM(AP89:AV100)</f>
        <v>10</v>
      </c>
      <c r="AP89" s="75">
        <f t="shared" si="44"/>
        <v>0</v>
      </c>
      <c r="AQ89" s="75">
        <f t="shared" si="45"/>
        <v>0</v>
      </c>
      <c r="AR89" s="75">
        <f t="shared" si="46"/>
        <v>1</v>
      </c>
      <c r="AS89" s="75">
        <f t="shared" si="47"/>
        <v>0</v>
      </c>
      <c r="AT89" s="75">
        <f t="shared" si="48"/>
        <v>0</v>
      </c>
      <c r="AU89" s="75">
        <f t="shared" si="49"/>
        <v>0</v>
      </c>
      <c r="AV89" s="76">
        <f t="shared" ref="AV89:AV112" si="51">COUNTIF($BG$6:$GA$28,AN90)</f>
        <v>0</v>
      </c>
      <c r="AW89" s="107">
        <f t="shared" ref="AW89" si="52">SUM(AX89:BD100)</f>
        <v>6</v>
      </c>
      <c r="AX89" s="75">
        <f t="shared" si="35"/>
        <v>0</v>
      </c>
      <c r="AY89" s="75">
        <f t="shared" si="36"/>
        <v>0</v>
      </c>
      <c r="AZ89" s="75">
        <f t="shared" si="37"/>
        <v>1</v>
      </c>
      <c r="BA89" s="75">
        <f t="shared" si="38"/>
        <v>0</v>
      </c>
      <c r="BB89" s="75">
        <f t="shared" si="39"/>
        <v>0</v>
      </c>
      <c r="BC89" s="75">
        <f t="shared" si="40"/>
        <v>0</v>
      </c>
      <c r="BD89" s="75">
        <f t="shared" si="41"/>
        <v>0</v>
      </c>
    </row>
    <row r="90" spans="1:56" ht="15" thickBot="1" x14ac:dyDescent="0.4">
      <c r="A90" s="9" t="s">
        <v>333</v>
      </c>
      <c r="B90" s="10"/>
      <c r="C90" s="10" t="s">
        <v>334</v>
      </c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F90" s="102"/>
      <c r="AG90" s="9" t="s">
        <v>333</v>
      </c>
      <c r="AH90" s="10"/>
      <c r="AI90" s="10" t="s">
        <v>334</v>
      </c>
      <c r="AJ90" s="10">
        <v>2569</v>
      </c>
      <c r="AK90" s="10"/>
      <c r="AL90" s="10"/>
      <c r="AM90" s="10"/>
      <c r="AN90" s="10">
        <v>5688</v>
      </c>
      <c r="AO90" s="108"/>
      <c r="AP90" s="77">
        <f t="shared" si="44"/>
        <v>0</v>
      </c>
      <c r="AQ90" s="77">
        <f t="shared" si="45"/>
        <v>0</v>
      </c>
      <c r="AR90" s="77">
        <f t="shared" si="46"/>
        <v>0</v>
      </c>
      <c r="AS90" s="77">
        <f t="shared" si="47"/>
        <v>0</v>
      </c>
      <c r="AT90" s="77">
        <f t="shared" si="48"/>
        <v>0</v>
      </c>
      <c r="AU90" s="77">
        <f t="shared" si="49"/>
        <v>0</v>
      </c>
      <c r="AV90" s="79">
        <f t="shared" si="51"/>
        <v>2</v>
      </c>
      <c r="AW90" s="108"/>
      <c r="AX90" s="75">
        <f t="shared" si="35"/>
        <v>0</v>
      </c>
      <c r="AY90" s="75">
        <f t="shared" si="36"/>
        <v>0</v>
      </c>
      <c r="AZ90" s="75">
        <f t="shared" si="37"/>
        <v>0</v>
      </c>
      <c r="BA90" s="75">
        <f t="shared" si="38"/>
        <v>0</v>
      </c>
      <c r="BB90" s="75">
        <f t="shared" si="39"/>
        <v>0</v>
      </c>
      <c r="BC90" s="75">
        <f t="shared" si="40"/>
        <v>0</v>
      </c>
      <c r="BD90" s="75">
        <f t="shared" si="41"/>
        <v>0</v>
      </c>
    </row>
    <row r="91" spans="1:56" ht="15" thickBot="1" x14ac:dyDescent="0.4">
      <c r="A91" s="9" t="s">
        <v>335</v>
      </c>
      <c r="B91" s="10"/>
      <c r="C91" s="10" t="s">
        <v>336</v>
      </c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F91" s="102"/>
      <c r="AG91" s="9" t="s">
        <v>335</v>
      </c>
      <c r="AH91" s="10"/>
      <c r="AI91" s="10" t="s">
        <v>336</v>
      </c>
      <c r="AJ91" s="10">
        <v>2578</v>
      </c>
      <c r="AK91" s="10"/>
      <c r="AL91" s="10"/>
      <c r="AM91" s="10"/>
      <c r="AN91" s="10">
        <v>5699</v>
      </c>
      <c r="AO91" s="108"/>
      <c r="AP91" s="77">
        <f t="shared" si="44"/>
        <v>0</v>
      </c>
      <c r="AQ91" s="77">
        <f t="shared" si="45"/>
        <v>0</v>
      </c>
      <c r="AR91" s="77">
        <f t="shared" si="46"/>
        <v>0</v>
      </c>
      <c r="AS91" s="77">
        <f t="shared" si="47"/>
        <v>0</v>
      </c>
      <c r="AT91" s="77">
        <f t="shared" si="48"/>
        <v>0</v>
      </c>
      <c r="AU91" s="77">
        <f t="shared" si="49"/>
        <v>0</v>
      </c>
      <c r="AV91" s="79">
        <f t="shared" si="51"/>
        <v>0</v>
      </c>
      <c r="AW91" s="108"/>
      <c r="AX91" s="75">
        <f t="shared" si="35"/>
        <v>0</v>
      </c>
      <c r="AY91" s="75">
        <f t="shared" si="36"/>
        <v>0</v>
      </c>
      <c r="AZ91" s="75">
        <f t="shared" si="37"/>
        <v>0</v>
      </c>
      <c r="BA91" s="75">
        <f t="shared" si="38"/>
        <v>0</v>
      </c>
      <c r="BB91" s="75">
        <f t="shared" si="39"/>
        <v>0</v>
      </c>
      <c r="BC91" s="75">
        <f t="shared" si="40"/>
        <v>0</v>
      </c>
      <c r="BD91" s="75">
        <f t="shared" si="41"/>
        <v>1</v>
      </c>
    </row>
    <row r="92" spans="1:56" ht="15" thickBot="1" x14ac:dyDescent="0.4">
      <c r="A92" s="9" t="s">
        <v>337</v>
      </c>
      <c r="B92" s="10"/>
      <c r="C92" s="10" t="s">
        <v>338</v>
      </c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F92" s="102"/>
      <c r="AG92" s="9" t="s">
        <v>337</v>
      </c>
      <c r="AH92" s="10"/>
      <c r="AI92" s="10" t="s">
        <v>338</v>
      </c>
      <c r="AJ92" s="10">
        <v>2579</v>
      </c>
      <c r="AK92" s="10"/>
      <c r="AL92" s="10"/>
      <c r="AM92" s="10"/>
      <c r="AN92" s="10">
        <v>5778</v>
      </c>
      <c r="AO92" s="108"/>
      <c r="AP92" s="77">
        <f t="shared" si="44"/>
        <v>0</v>
      </c>
      <c r="AQ92" s="77">
        <f t="shared" si="45"/>
        <v>0</v>
      </c>
      <c r="AR92" s="77">
        <f t="shared" si="46"/>
        <v>0</v>
      </c>
      <c r="AS92" s="77">
        <f t="shared" si="47"/>
        <v>0</v>
      </c>
      <c r="AT92" s="77">
        <f t="shared" si="48"/>
        <v>0</v>
      </c>
      <c r="AU92" s="77">
        <f t="shared" si="49"/>
        <v>0</v>
      </c>
      <c r="AV92" s="79">
        <f t="shared" si="51"/>
        <v>1</v>
      </c>
      <c r="AW92" s="108"/>
      <c r="AX92" s="75">
        <f t="shared" si="35"/>
        <v>0</v>
      </c>
      <c r="AY92" s="75">
        <f t="shared" si="36"/>
        <v>0</v>
      </c>
      <c r="AZ92" s="75">
        <f t="shared" si="37"/>
        <v>0</v>
      </c>
      <c r="BA92" s="75">
        <f t="shared" si="38"/>
        <v>0</v>
      </c>
      <c r="BB92" s="75">
        <f t="shared" si="39"/>
        <v>0</v>
      </c>
      <c r="BC92" s="75">
        <f t="shared" si="40"/>
        <v>0</v>
      </c>
      <c r="BD92" s="75">
        <f t="shared" si="41"/>
        <v>0</v>
      </c>
    </row>
    <row r="93" spans="1:56" ht="15" thickBot="1" x14ac:dyDescent="0.4">
      <c r="A93" s="9" t="s">
        <v>339</v>
      </c>
      <c r="B93" s="10"/>
      <c r="C93" s="10" t="s">
        <v>340</v>
      </c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F93" s="102"/>
      <c r="AG93" s="9" t="s">
        <v>339</v>
      </c>
      <c r="AH93" s="10"/>
      <c r="AI93" s="10" t="s">
        <v>340</v>
      </c>
      <c r="AJ93" s="10">
        <v>2589</v>
      </c>
      <c r="AK93" s="10"/>
      <c r="AL93" s="10"/>
      <c r="AM93" s="10"/>
      <c r="AN93" s="10">
        <v>5779</v>
      </c>
      <c r="AO93" s="108"/>
      <c r="AP93" s="77">
        <f t="shared" si="44"/>
        <v>0</v>
      </c>
      <c r="AQ93" s="77">
        <f t="shared" si="45"/>
        <v>0</v>
      </c>
      <c r="AR93" s="77">
        <f t="shared" si="46"/>
        <v>0</v>
      </c>
      <c r="AS93" s="77">
        <f t="shared" si="47"/>
        <v>0</v>
      </c>
      <c r="AT93" s="77">
        <f t="shared" si="48"/>
        <v>0</v>
      </c>
      <c r="AU93" s="77">
        <f t="shared" si="49"/>
        <v>0</v>
      </c>
      <c r="AV93" s="79">
        <f t="shared" si="51"/>
        <v>1</v>
      </c>
      <c r="AW93" s="108"/>
      <c r="AX93" s="75">
        <f t="shared" si="35"/>
        <v>0</v>
      </c>
      <c r="AY93" s="75">
        <f t="shared" si="36"/>
        <v>0</v>
      </c>
      <c r="AZ93" s="75">
        <f t="shared" si="37"/>
        <v>0</v>
      </c>
      <c r="BA93" s="75">
        <f t="shared" si="38"/>
        <v>0</v>
      </c>
      <c r="BB93" s="75">
        <f t="shared" si="39"/>
        <v>0</v>
      </c>
      <c r="BC93" s="75">
        <f t="shared" si="40"/>
        <v>0</v>
      </c>
      <c r="BD93" s="75">
        <f t="shared" si="41"/>
        <v>0</v>
      </c>
    </row>
    <row r="94" spans="1:56" ht="15" thickBot="1" x14ac:dyDescent="0.4">
      <c r="A94" s="9" t="s">
        <v>341</v>
      </c>
      <c r="B94" s="10"/>
      <c r="C94" s="10" t="s">
        <v>342</v>
      </c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F94" s="102"/>
      <c r="AG94" s="9" t="s">
        <v>341</v>
      </c>
      <c r="AH94" s="10"/>
      <c r="AI94" s="10" t="s">
        <v>342</v>
      </c>
      <c r="AJ94" s="10">
        <v>2678</v>
      </c>
      <c r="AK94" s="10"/>
      <c r="AL94" s="10"/>
      <c r="AM94" s="10"/>
      <c r="AN94" s="10">
        <v>5788</v>
      </c>
      <c r="AO94" s="108"/>
      <c r="AP94" s="77">
        <f t="shared" si="44"/>
        <v>0</v>
      </c>
      <c r="AQ94" s="77">
        <f t="shared" si="45"/>
        <v>1</v>
      </c>
      <c r="AR94" s="77">
        <f t="shared" si="46"/>
        <v>1</v>
      </c>
      <c r="AS94" s="77">
        <f t="shared" si="47"/>
        <v>0</v>
      </c>
      <c r="AT94" s="77">
        <f t="shared" si="48"/>
        <v>0</v>
      </c>
      <c r="AU94" s="77">
        <f t="shared" si="49"/>
        <v>0</v>
      </c>
      <c r="AV94" s="79">
        <f t="shared" si="51"/>
        <v>0</v>
      </c>
      <c r="AW94" s="108"/>
      <c r="AX94" s="75">
        <f t="shared" si="35"/>
        <v>0</v>
      </c>
      <c r="AY94" s="75">
        <f t="shared" si="36"/>
        <v>1</v>
      </c>
      <c r="AZ94" s="75">
        <f t="shared" si="37"/>
        <v>0</v>
      </c>
      <c r="BA94" s="75">
        <f t="shared" si="38"/>
        <v>0</v>
      </c>
      <c r="BB94" s="75">
        <f t="shared" si="39"/>
        <v>0</v>
      </c>
      <c r="BC94" s="75">
        <f t="shared" si="40"/>
        <v>0</v>
      </c>
      <c r="BD94" s="75">
        <f t="shared" si="41"/>
        <v>1</v>
      </c>
    </row>
    <row r="95" spans="1:56" ht="15" thickBot="1" x14ac:dyDescent="0.4">
      <c r="A95" s="9" t="s">
        <v>343</v>
      </c>
      <c r="B95" s="10"/>
      <c r="C95" s="10" t="s">
        <v>344</v>
      </c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F95" s="102"/>
      <c r="AG95" s="9" t="s">
        <v>343</v>
      </c>
      <c r="AH95" s="10"/>
      <c r="AI95" s="10" t="s">
        <v>344</v>
      </c>
      <c r="AJ95" s="10">
        <v>2679</v>
      </c>
      <c r="AK95" s="10"/>
      <c r="AL95" s="10"/>
      <c r="AM95" s="10"/>
      <c r="AN95" s="10">
        <v>5799</v>
      </c>
      <c r="AO95" s="108"/>
      <c r="AP95" s="77">
        <f t="shared" si="44"/>
        <v>0</v>
      </c>
      <c r="AQ95" s="77">
        <f t="shared" si="45"/>
        <v>0</v>
      </c>
      <c r="AR95" s="77">
        <f t="shared" si="46"/>
        <v>0</v>
      </c>
      <c r="AS95" s="77">
        <f t="shared" si="47"/>
        <v>0</v>
      </c>
      <c r="AT95" s="77">
        <f t="shared" si="48"/>
        <v>0</v>
      </c>
      <c r="AU95" s="77">
        <f t="shared" si="49"/>
        <v>0</v>
      </c>
      <c r="AV95" s="79">
        <f t="shared" si="51"/>
        <v>0</v>
      </c>
      <c r="AW95" s="108"/>
      <c r="AX95" s="75">
        <f t="shared" si="35"/>
        <v>0</v>
      </c>
      <c r="AY95" s="75">
        <f t="shared" si="36"/>
        <v>0</v>
      </c>
      <c r="AZ95" s="75">
        <f t="shared" si="37"/>
        <v>0</v>
      </c>
      <c r="BA95" s="75">
        <f t="shared" si="38"/>
        <v>0</v>
      </c>
      <c r="BB95" s="75">
        <f t="shared" si="39"/>
        <v>0</v>
      </c>
      <c r="BC95" s="75">
        <f t="shared" si="40"/>
        <v>0</v>
      </c>
      <c r="BD95" s="75">
        <f t="shared" si="41"/>
        <v>0</v>
      </c>
    </row>
    <row r="96" spans="1:56" ht="15" thickBot="1" x14ac:dyDescent="0.4">
      <c r="A96" s="9" t="s">
        <v>345</v>
      </c>
      <c r="B96" s="10"/>
      <c r="C96" s="10" t="s">
        <v>346</v>
      </c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F96" s="102"/>
      <c r="AG96" s="9" t="s">
        <v>345</v>
      </c>
      <c r="AH96" s="10"/>
      <c r="AI96" s="10" t="s">
        <v>346</v>
      </c>
      <c r="AJ96" s="10">
        <v>2689</v>
      </c>
      <c r="AK96" s="10"/>
      <c r="AL96" s="10"/>
      <c r="AM96" s="10"/>
      <c r="AN96" s="10">
        <v>5889</v>
      </c>
      <c r="AO96" s="108"/>
      <c r="AP96" s="77">
        <f t="shared" si="44"/>
        <v>0</v>
      </c>
      <c r="AQ96" s="77">
        <f t="shared" si="45"/>
        <v>0</v>
      </c>
      <c r="AR96" s="77">
        <f t="shared" si="46"/>
        <v>0</v>
      </c>
      <c r="AS96" s="77">
        <f t="shared" si="47"/>
        <v>0</v>
      </c>
      <c r="AT96" s="77">
        <f t="shared" si="48"/>
        <v>0</v>
      </c>
      <c r="AU96" s="77">
        <f t="shared" si="49"/>
        <v>0</v>
      </c>
      <c r="AV96" s="79">
        <f t="shared" si="51"/>
        <v>0</v>
      </c>
      <c r="AW96" s="108"/>
      <c r="AX96" s="75">
        <f t="shared" si="35"/>
        <v>0</v>
      </c>
      <c r="AY96" s="75">
        <f t="shared" si="36"/>
        <v>0</v>
      </c>
      <c r="AZ96" s="75">
        <f t="shared" si="37"/>
        <v>0</v>
      </c>
      <c r="BA96" s="75">
        <f t="shared" si="38"/>
        <v>0</v>
      </c>
      <c r="BB96" s="75">
        <f t="shared" si="39"/>
        <v>0</v>
      </c>
      <c r="BC96" s="75">
        <f t="shared" si="40"/>
        <v>0</v>
      </c>
      <c r="BD96" s="75">
        <f t="shared" si="41"/>
        <v>0</v>
      </c>
    </row>
    <row r="97" spans="1:56" ht="15" thickBot="1" x14ac:dyDescent="0.4">
      <c r="A97" s="9" t="s">
        <v>347</v>
      </c>
      <c r="B97" s="10"/>
      <c r="C97" s="10" t="s">
        <v>348</v>
      </c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F97" s="102"/>
      <c r="AG97" s="9" t="s">
        <v>347</v>
      </c>
      <c r="AH97" s="10"/>
      <c r="AI97" s="10" t="s">
        <v>348</v>
      </c>
      <c r="AJ97" s="10">
        <v>2789</v>
      </c>
      <c r="AK97" s="10"/>
      <c r="AL97" s="10"/>
      <c r="AM97" s="10"/>
      <c r="AN97" s="10">
        <v>5899</v>
      </c>
      <c r="AO97" s="108"/>
      <c r="AP97" s="77">
        <f t="shared" si="44"/>
        <v>0</v>
      </c>
      <c r="AQ97" s="77">
        <f t="shared" si="45"/>
        <v>0</v>
      </c>
      <c r="AR97" s="77">
        <f t="shared" si="46"/>
        <v>0</v>
      </c>
      <c r="AS97" s="77">
        <f t="shared" si="47"/>
        <v>0</v>
      </c>
      <c r="AT97" s="77">
        <f t="shared" si="48"/>
        <v>0</v>
      </c>
      <c r="AU97" s="77">
        <f t="shared" si="49"/>
        <v>0</v>
      </c>
      <c r="AV97" s="79">
        <f t="shared" si="51"/>
        <v>2</v>
      </c>
      <c r="AW97" s="108"/>
      <c r="AX97" s="75">
        <f t="shared" si="35"/>
        <v>0</v>
      </c>
      <c r="AY97" s="75">
        <f t="shared" si="36"/>
        <v>0</v>
      </c>
      <c r="AZ97" s="75">
        <f t="shared" si="37"/>
        <v>0</v>
      </c>
      <c r="BA97" s="75">
        <f t="shared" si="38"/>
        <v>0</v>
      </c>
      <c r="BB97" s="75">
        <f t="shared" si="39"/>
        <v>0</v>
      </c>
      <c r="BC97" s="75">
        <f t="shared" si="40"/>
        <v>0</v>
      </c>
      <c r="BD97" s="75">
        <f t="shared" si="41"/>
        <v>0</v>
      </c>
    </row>
    <row r="98" spans="1:56" ht="15" thickBot="1" x14ac:dyDescent="0.4">
      <c r="A98" s="9" t="s">
        <v>349</v>
      </c>
      <c r="B98" s="10"/>
      <c r="C98" s="10" t="s">
        <v>350</v>
      </c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F98" s="102"/>
      <c r="AG98" s="9" t="s">
        <v>349</v>
      </c>
      <c r="AH98" s="10"/>
      <c r="AI98" s="10" t="s">
        <v>350</v>
      </c>
      <c r="AJ98" s="10"/>
      <c r="AK98" s="10"/>
      <c r="AL98" s="10"/>
      <c r="AM98" s="10"/>
      <c r="AN98" s="10">
        <v>6678</v>
      </c>
      <c r="AO98" s="108"/>
      <c r="AP98" s="77">
        <f t="shared" si="44"/>
        <v>0</v>
      </c>
      <c r="AQ98" s="77">
        <f t="shared" si="45"/>
        <v>0</v>
      </c>
      <c r="AR98" s="77">
        <f t="shared" si="46"/>
        <v>0</v>
      </c>
      <c r="AS98" s="77">
        <f t="shared" si="47"/>
        <v>0</v>
      </c>
      <c r="AT98" s="77">
        <f t="shared" si="48"/>
        <v>0</v>
      </c>
      <c r="AU98" s="77">
        <f t="shared" si="49"/>
        <v>0</v>
      </c>
      <c r="AV98" s="79">
        <f t="shared" si="51"/>
        <v>0</v>
      </c>
      <c r="AW98" s="108"/>
      <c r="AX98" s="75">
        <f t="shared" si="35"/>
        <v>0</v>
      </c>
      <c r="AY98" s="75">
        <f t="shared" si="36"/>
        <v>0</v>
      </c>
      <c r="AZ98" s="75">
        <f t="shared" si="37"/>
        <v>0</v>
      </c>
      <c r="BA98" s="75">
        <f t="shared" si="38"/>
        <v>0</v>
      </c>
      <c r="BB98" s="75">
        <f t="shared" si="39"/>
        <v>0</v>
      </c>
      <c r="BC98" s="75">
        <f t="shared" si="40"/>
        <v>0</v>
      </c>
      <c r="BD98" s="75">
        <f t="shared" si="41"/>
        <v>2</v>
      </c>
    </row>
    <row r="99" spans="1:56" ht="15" thickBot="1" x14ac:dyDescent="0.4">
      <c r="A99" s="9" t="s">
        <v>351</v>
      </c>
      <c r="B99" s="10"/>
      <c r="C99" s="10" t="s">
        <v>352</v>
      </c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F99" s="102"/>
      <c r="AG99" s="9" t="s">
        <v>351</v>
      </c>
      <c r="AH99" s="10"/>
      <c r="AI99" s="10" t="s">
        <v>352</v>
      </c>
      <c r="AJ99" s="10"/>
      <c r="AK99" s="10"/>
      <c r="AL99" s="10"/>
      <c r="AM99" s="10"/>
      <c r="AN99" s="10">
        <v>6679</v>
      </c>
      <c r="AO99" s="108"/>
      <c r="AP99" s="77">
        <f t="shared" si="44"/>
        <v>0</v>
      </c>
      <c r="AQ99" s="77">
        <f t="shared" si="45"/>
        <v>1</v>
      </c>
      <c r="AR99" s="77">
        <f t="shared" si="46"/>
        <v>0</v>
      </c>
      <c r="AS99" s="77">
        <f t="shared" si="47"/>
        <v>0</v>
      </c>
      <c r="AT99" s="77">
        <f t="shared" si="48"/>
        <v>0</v>
      </c>
      <c r="AU99" s="77">
        <f t="shared" si="49"/>
        <v>0</v>
      </c>
      <c r="AV99" s="79">
        <f t="shared" si="51"/>
        <v>0</v>
      </c>
      <c r="AW99" s="108"/>
      <c r="AX99" s="75">
        <f t="shared" si="35"/>
        <v>0</v>
      </c>
      <c r="AY99" s="75">
        <f t="shared" si="36"/>
        <v>0</v>
      </c>
      <c r="AZ99" s="75">
        <f t="shared" si="37"/>
        <v>0</v>
      </c>
      <c r="BA99" s="75">
        <f t="shared" si="38"/>
        <v>0</v>
      </c>
      <c r="BB99" s="75">
        <f t="shared" si="39"/>
        <v>0</v>
      </c>
      <c r="BC99" s="75">
        <f t="shared" si="40"/>
        <v>0</v>
      </c>
      <c r="BD99" s="75">
        <f t="shared" si="41"/>
        <v>0</v>
      </c>
    </row>
    <row r="100" spans="1:56" ht="15" thickBot="1" x14ac:dyDescent="0.4">
      <c r="A100" s="9" t="s">
        <v>353</v>
      </c>
      <c r="B100" s="10"/>
      <c r="C100" s="10" t="s">
        <v>354</v>
      </c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F100" s="103"/>
      <c r="AG100" s="41" t="s">
        <v>353</v>
      </c>
      <c r="AH100" s="42"/>
      <c r="AI100" s="42" t="s">
        <v>354</v>
      </c>
      <c r="AJ100" s="42"/>
      <c r="AK100" s="42"/>
      <c r="AL100" s="42"/>
      <c r="AM100" s="42"/>
      <c r="AN100" s="42">
        <v>6689</v>
      </c>
      <c r="AO100" s="109"/>
      <c r="AP100" s="80">
        <f t="shared" si="44"/>
        <v>0</v>
      </c>
      <c r="AQ100" s="80">
        <f t="shared" si="45"/>
        <v>0</v>
      </c>
      <c r="AR100" s="80">
        <f t="shared" si="46"/>
        <v>0</v>
      </c>
      <c r="AS100" s="80">
        <f t="shared" si="47"/>
        <v>0</v>
      </c>
      <c r="AT100" s="80">
        <f t="shared" si="48"/>
        <v>0</v>
      </c>
      <c r="AU100" s="80">
        <f t="shared" si="49"/>
        <v>0</v>
      </c>
      <c r="AV100" s="81">
        <f t="shared" si="51"/>
        <v>0</v>
      </c>
      <c r="AW100" s="109"/>
      <c r="AX100" s="75">
        <f t="shared" si="35"/>
        <v>0</v>
      </c>
      <c r="AY100" s="75">
        <f t="shared" si="36"/>
        <v>0</v>
      </c>
      <c r="AZ100" s="75">
        <f t="shared" si="37"/>
        <v>0</v>
      </c>
      <c r="BA100" s="75">
        <f t="shared" si="38"/>
        <v>0</v>
      </c>
      <c r="BB100" s="75">
        <f t="shared" si="39"/>
        <v>0</v>
      </c>
      <c r="BC100" s="75">
        <f t="shared" si="40"/>
        <v>0</v>
      </c>
      <c r="BD100" s="75">
        <f t="shared" si="41"/>
        <v>0</v>
      </c>
    </row>
    <row r="101" spans="1:56" ht="15" thickBot="1" x14ac:dyDescent="0.4">
      <c r="A101" s="9" t="s">
        <v>355</v>
      </c>
      <c r="B101" s="10"/>
      <c r="C101" s="10" t="s">
        <v>356</v>
      </c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F101" s="101" t="s">
        <v>442</v>
      </c>
      <c r="AG101" s="39" t="s">
        <v>355</v>
      </c>
      <c r="AH101" s="40"/>
      <c r="AI101" s="93" t="s">
        <v>356</v>
      </c>
      <c r="AJ101" s="40"/>
      <c r="AK101" s="40"/>
      <c r="AL101" s="40"/>
      <c r="AM101" s="40"/>
      <c r="AN101" s="40">
        <v>6778</v>
      </c>
      <c r="AO101" s="107">
        <f t="shared" ref="AO101" si="53">SUM(AP101:AV112)</f>
        <v>1</v>
      </c>
      <c r="AP101" s="75">
        <f t="shared" si="44"/>
        <v>0</v>
      </c>
      <c r="AQ101" s="75">
        <f t="shared" si="45"/>
        <v>0</v>
      </c>
      <c r="AR101" s="75">
        <f t="shared" si="46"/>
        <v>0</v>
      </c>
      <c r="AS101" s="75">
        <f t="shared" si="47"/>
        <v>0</v>
      </c>
      <c r="AT101" s="75">
        <f t="shared" si="48"/>
        <v>0</v>
      </c>
      <c r="AU101" s="75">
        <f t="shared" si="49"/>
        <v>0</v>
      </c>
      <c r="AV101" s="76">
        <f t="shared" si="51"/>
        <v>0</v>
      </c>
      <c r="AW101" s="107">
        <f t="shared" ref="AW101" si="54">SUM(AX101:BD112)</f>
        <v>0</v>
      </c>
      <c r="AX101" s="75">
        <f t="shared" si="35"/>
        <v>0</v>
      </c>
      <c r="AY101" s="75">
        <f t="shared" si="36"/>
        <v>0</v>
      </c>
      <c r="AZ101" s="75">
        <f t="shared" si="37"/>
        <v>0</v>
      </c>
      <c r="BA101" s="75">
        <f t="shared" si="38"/>
        <v>0</v>
      </c>
      <c r="BB101" s="75">
        <f t="shared" si="39"/>
        <v>0</v>
      </c>
      <c r="BC101" s="75">
        <f t="shared" si="40"/>
        <v>0</v>
      </c>
      <c r="BD101" s="75">
        <f t="shared" si="41"/>
        <v>0</v>
      </c>
    </row>
    <row r="102" spans="1:56" ht="15" thickBot="1" x14ac:dyDescent="0.4">
      <c r="A102" s="9" t="s">
        <v>357</v>
      </c>
      <c r="B102" s="10"/>
      <c r="C102" s="10" t="s">
        <v>358</v>
      </c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F102" s="102"/>
      <c r="AG102" s="9" t="s">
        <v>357</v>
      </c>
      <c r="AH102" s="10"/>
      <c r="AI102" s="94" t="s">
        <v>358</v>
      </c>
      <c r="AJ102" s="10"/>
      <c r="AK102" s="10"/>
      <c r="AL102" s="10"/>
      <c r="AM102" s="10"/>
      <c r="AN102" s="10">
        <v>6779</v>
      </c>
      <c r="AO102" s="108"/>
      <c r="AP102" s="77">
        <f t="shared" si="44"/>
        <v>0</v>
      </c>
      <c r="AQ102" s="77">
        <f t="shared" si="45"/>
        <v>0</v>
      </c>
      <c r="AR102" s="77">
        <f t="shared" si="46"/>
        <v>0</v>
      </c>
      <c r="AS102" s="77">
        <f t="shared" si="47"/>
        <v>0</v>
      </c>
      <c r="AT102" s="77">
        <f t="shared" si="48"/>
        <v>0</v>
      </c>
      <c r="AU102" s="77">
        <f t="shared" si="49"/>
        <v>0</v>
      </c>
      <c r="AV102" s="79">
        <f t="shared" si="51"/>
        <v>0</v>
      </c>
      <c r="AW102" s="108"/>
      <c r="AX102" s="75">
        <f t="shared" si="35"/>
        <v>0</v>
      </c>
      <c r="AY102" s="75">
        <f t="shared" si="36"/>
        <v>0</v>
      </c>
      <c r="AZ102" s="75">
        <f t="shared" si="37"/>
        <v>0</v>
      </c>
      <c r="BA102" s="75">
        <f t="shared" si="38"/>
        <v>0</v>
      </c>
      <c r="BB102" s="75">
        <f t="shared" si="39"/>
        <v>0</v>
      </c>
      <c r="BC102" s="75">
        <f t="shared" si="40"/>
        <v>0</v>
      </c>
      <c r="BD102" s="75">
        <f t="shared" si="41"/>
        <v>0</v>
      </c>
    </row>
    <row r="103" spans="1:56" ht="15" thickBot="1" x14ac:dyDescent="0.4">
      <c r="A103" s="9" t="s">
        <v>359</v>
      </c>
      <c r="B103" s="10"/>
      <c r="C103" s="10" t="s">
        <v>360</v>
      </c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F103" s="102"/>
      <c r="AG103" s="9" t="s">
        <v>359</v>
      </c>
      <c r="AH103" s="10"/>
      <c r="AI103" s="94" t="s">
        <v>360</v>
      </c>
      <c r="AJ103" s="10"/>
      <c r="AK103" s="10"/>
      <c r="AL103" s="10"/>
      <c r="AM103" s="10"/>
      <c r="AN103" s="10">
        <v>6788</v>
      </c>
      <c r="AO103" s="108"/>
      <c r="AP103" s="77">
        <f t="shared" si="44"/>
        <v>0</v>
      </c>
      <c r="AQ103" s="77">
        <f t="shared" si="45"/>
        <v>0</v>
      </c>
      <c r="AR103" s="77">
        <f t="shared" si="46"/>
        <v>0</v>
      </c>
      <c r="AS103" s="77">
        <f t="shared" si="47"/>
        <v>0</v>
      </c>
      <c r="AT103" s="77">
        <f t="shared" si="48"/>
        <v>0</v>
      </c>
      <c r="AU103" s="77">
        <f t="shared" si="49"/>
        <v>0</v>
      </c>
      <c r="AV103" s="79">
        <f t="shared" si="51"/>
        <v>0</v>
      </c>
      <c r="AW103" s="108"/>
      <c r="AX103" s="75">
        <f t="shared" si="35"/>
        <v>0</v>
      </c>
      <c r="AY103" s="75">
        <f t="shared" si="36"/>
        <v>0</v>
      </c>
      <c r="AZ103" s="75">
        <f t="shared" si="37"/>
        <v>0</v>
      </c>
      <c r="BA103" s="75">
        <f t="shared" si="38"/>
        <v>0</v>
      </c>
      <c r="BB103" s="75">
        <f t="shared" si="39"/>
        <v>0</v>
      </c>
      <c r="BC103" s="75">
        <f t="shared" si="40"/>
        <v>0</v>
      </c>
      <c r="BD103" s="75">
        <f t="shared" si="41"/>
        <v>0</v>
      </c>
    </row>
    <row r="104" spans="1:56" ht="15" thickBot="1" x14ac:dyDescent="0.4">
      <c r="A104" s="9" t="s">
        <v>361</v>
      </c>
      <c r="B104" s="10"/>
      <c r="C104" s="10" t="s">
        <v>362</v>
      </c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F104" s="102"/>
      <c r="AG104" s="9" t="s">
        <v>361</v>
      </c>
      <c r="AH104" s="10"/>
      <c r="AI104" s="94" t="s">
        <v>362</v>
      </c>
      <c r="AJ104" s="10"/>
      <c r="AK104" s="10"/>
      <c r="AL104" s="10"/>
      <c r="AM104" s="10"/>
      <c r="AN104" s="10">
        <v>6799</v>
      </c>
      <c r="AO104" s="108"/>
      <c r="AP104" s="77">
        <f t="shared" si="44"/>
        <v>0</v>
      </c>
      <c r="AQ104" s="77">
        <f t="shared" si="45"/>
        <v>0</v>
      </c>
      <c r="AR104" s="77">
        <f t="shared" si="46"/>
        <v>0</v>
      </c>
      <c r="AS104" s="77">
        <f t="shared" si="47"/>
        <v>0</v>
      </c>
      <c r="AT104" s="77">
        <f t="shared" si="48"/>
        <v>0</v>
      </c>
      <c r="AU104" s="77">
        <f t="shared" si="49"/>
        <v>0</v>
      </c>
      <c r="AV104" s="79">
        <f t="shared" si="51"/>
        <v>0</v>
      </c>
      <c r="AW104" s="108"/>
      <c r="AX104" s="75">
        <f t="shared" si="35"/>
        <v>0</v>
      </c>
      <c r="AY104" s="75">
        <f t="shared" si="36"/>
        <v>0</v>
      </c>
      <c r="AZ104" s="75">
        <f t="shared" si="37"/>
        <v>0</v>
      </c>
      <c r="BA104" s="75">
        <f t="shared" si="38"/>
        <v>0</v>
      </c>
      <c r="BB104" s="75">
        <f t="shared" si="39"/>
        <v>0</v>
      </c>
      <c r="BC104" s="75">
        <f t="shared" si="40"/>
        <v>0</v>
      </c>
      <c r="BD104" s="75">
        <f t="shared" si="41"/>
        <v>0</v>
      </c>
    </row>
    <row r="105" spans="1:56" ht="15" thickBot="1" x14ac:dyDescent="0.4">
      <c r="A105" s="9" t="s">
        <v>363</v>
      </c>
      <c r="B105" s="10"/>
      <c r="C105" s="10" t="s">
        <v>364</v>
      </c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F105" s="102"/>
      <c r="AG105" s="9" t="s">
        <v>363</v>
      </c>
      <c r="AH105" s="10"/>
      <c r="AI105" s="94" t="s">
        <v>364</v>
      </c>
      <c r="AJ105" s="10"/>
      <c r="AK105" s="10"/>
      <c r="AL105" s="10"/>
      <c r="AM105" s="10"/>
      <c r="AN105" s="10">
        <v>6889</v>
      </c>
      <c r="AO105" s="108"/>
      <c r="AP105" s="77">
        <f t="shared" si="44"/>
        <v>0</v>
      </c>
      <c r="AQ105" s="77">
        <f t="shared" si="45"/>
        <v>0</v>
      </c>
      <c r="AR105" s="77">
        <f t="shared" si="46"/>
        <v>0</v>
      </c>
      <c r="AS105" s="77">
        <f t="shared" si="47"/>
        <v>0</v>
      </c>
      <c r="AT105" s="77">
        <f t="shared" si="48"/>
        <v>0</v>
      </c>
      <c r="AU105" s="77">
        <f t="shared" si="49"/>
        <v>0</v>
      </c>
      <c r="AV105" s="79">
        <f t="shared" si="51"/>
        <v>0</v>
      </c>
      <c r="AW105" s="108"/>
      <c r="AX105" s="75">
        <f t="shared" si="35"/>
        <v>0</v>
      </c>
      <c r="AY105" s="75">
        <f t="shared" si="36"/>
        <v>0</v>
      </c>
      <c r="AZ105" s="75">
        <f t="shared" si="37"/>
        <v>0</v>
      </c>
      <c r="BA105" s="75">
        <f t="shared" si="38"/>
        <v>0</v>
      </c>
      <c r="BB105" s="75">
        <f t="shared" si="39"/>
        <v>0</v>
      </c>
      <c r="BC105" s="75">
        <f t="shared" si="40"/>
        <v>0</v>
      </c>
      <c r="BD105" s="75">
        <f t="shared" si="41"/>
        <v>0</v>
      </c>
    </row>
    <row r="106" spans="1:56" ht="15" thickBot="1" x14ac:dyDescent="0.4">
      <c r="A106" s="9" t="s">
        <v>365</v>
      </c>
      <c r="B106" s="10"/>
      <c r="C106" s="10" t="s">
        <v>366</v>
      </c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F106" s="102"/>
      <c r="AG106" s="9" t="s">
        <v>365</v>
      </c>
      <c r="AH106" s="10"/>
      <c r="AI106" s="94" t="s">
        <v>366</v>
      </c>
      <c r="AJ106" s="10"/>
      <c r="AK106" s="10"/>
      <c r="AL106" s="10"/>
      <c r="AM106" s="10"/>
      <c r="AN106" s="10">
        <v>6899</v>
      </c>
      <c r="AO106" s="108"/>
      <c r="AP106" s="77">
        <f t="shared" si="44"/>
        <v>0</v>
      </c>
      <c r="AQ106" s="77">
        <f t="shared" si="45"/>
        <v>0</v>
      </c>
      <c r="AR106" s="77">
        <f t="shared" si="46"/>
        <v>0</v>
      </c>
      <c r="AS106" s="77">
        <f t="shared" si="47"/>
        <v>0</v>
      </c>
      <c r="AT106" s="77">
        <f t="shared" si="48"/>
        <v>0</v>
      </c>
      <c r="AU106" s="77">
        <f t="shared" si="49"/>
        <v>0</v>
      </c>
      <c r="AV106" s="79">
        <f t="shared" si="51"/>
        <v>0</v>
      </c>
      <c r="AW106" s="108"/>
      <c r="AX106" s="75">
        <f t="shared" si="35"/>
        <v>0</v>
      </c>
      <c r="AY106" s="75">
        <f t="shared" si="36"/>
        <v>0</v>
      </c>
      <c r="AZ106" s="75">
        <f t="shared" si="37"/>
        <v>0</v>
      </c>
      <c r="BA106" s="75">
        <f t="shared" si="38"/>
        <v>0</v>
      </c>
      <c r="BB106" s="75">
        <f t="shared" si="39"/>
        <v>0</v>
      </c>
      <c r="BC106" s="75">
        <f t="shared" si="40"/>
        <v>0</v>
      </c>
      <c r="BD106" s="75">
        <f t="shared" si="41"/>
        <v>0</v>
      </c>
    </row>
    <row r="107" spans="1:56" ht="15" thickBot="1" x14ac:dyDescent="0.4">
      <c r="A107" s="9" t="s">
        <v>367</v>
      </c>
      <c r="B107" s="10"/>
      <c r="C107" s="10" t="s">
        <v>368</v>
      </c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F107" s="102"/>
      <c r="AG107" s="9" t="s">
        <v>367</v>
      </c>
      <c r="AH107" s="10"/>
      <c r="AI107" s="94" t="s">
        <v>368</v>
      </c>
      <c r="AJ107" s="10"/>
      <c r="AK107" s="10"/>
      <c r="AL107" s="10"/>
      <c r="AM107" s="10"/>
      <c r="AN107" s="10">
        <v>7789</v>
      </c>
      <c r="AO107" s="108"/>
      <c r="AP107" s="77">
        <f t="shared" si="44"/>
        <v>0</v>
      </c>
      <c r="AQ107" s="77">
        <f t="shared" si="45"/>
        <v>0</v>
      </c>
      <c r="AR107" s="77">
        <f t="shared" si="46"/>
        <v>0</v>
      </c>
      <c r="AS107" s="77">
        <f t="shared" si="47"/>
        <v>0</v>
      </c>
      <c r="AT107" s="77">
        <f t="shared" si="48"/>
        <v>0</v>
      </c>
      <c r="AU107" s="77">
        <f t="shared" si="49"/>
        <v>0</v>
      </c>
      <c r="AV107" s="79">
        <f t="shared" si="51"/>
        <v>0</v>
      </c>
      <c r="AW107" s="108"/>
      <c r="AX107" s="75">
        <f t="shared" si="35"/>
        <v>0</v>
      </c>
      <c r="AY107" s="75">
        <f t="shared" si="36"/>
        <v>0</v>
      </c>
      <c r="AZ107" s="75">
        <f t="shared" si="37"/>
        <v>0</v>
      </c>
      <c r="BA107" s="75">
        <f t="shared" si="38"/>
        <v>0</v>
      </c>
      <c r="BB107" s="75">
        <f t="shared" si="39"/>
        <v>0</v>
      </c>
      <c r="BC107" s="75">
        <f t="shared" si="40"/>
        <v>0</v>
      </c>
      <c r="BD107" s="75">
        <f t="shared" si="41"/>
        <v>0</v>
      </c>
    </row>
    <row r="108" spans="1:56" ht="15" thickBot="1" x14ac:dyDescent="0.4">
      <c r="A108" s="9" t="s">
        <v>369</v>
      </c>
      <c r="B108" s="10"/>
      <c r="C108" s="10" t="s">
        <v>370</v>
      </c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F108" s="102"/>
      <c r="AG108" s="9" t="s">
        <v>369</v>
      </c>
      <c r="AH108" s="10"/>
      <c r="AI108" s="94" t="s">
        <v>370</v>
      </c>
      <c r="AJ108" s="10"/>
      <c r="AK108" s="10"/>
      <c r="AL108" s="10"/>
      <c r="AM108" s="10"/>
      <c r="AN108" s="10">
        <v>7889</v>
      </c>
      <c r="AO108" s="108"/>
      <c r="AP108" s="77">
        <f t="shared" si="44"/>
        <v>0</v>
      </c>
      <c r="AQ108" s="77">
        <f t="shared" si="45"/>
        <v>0</v>
      </c>
      <c r="AR108" s="77">
        <f t="shared" si="46"/>
        <v>0</v>
      </c>
      <c r="AS108" s="77">
        <f t="shared" si="47"/>
        <v>0</v>
      </c>
      <c r="AT108" s="77">
        <f t="shared" si="48"/>
        <v>0</v>
      </c>
      <c r="AU108" s="77">
        <f t="shared" si="49"/>
        <v>0</v>
      </c>
      <c r="AV108" s="79">
        <f t="shared" si="51"/>
        <v>1</v>
      </c>
      <c r="AW108" s="108"/>
      <c r="AX108" s="75">
        <f t="shared" si="35"/>
        <v>0</v>
      </c>
      <c r="AY108" s="75">
        <f t="shared" si="36"/>
        <v>0</v>
      </c>
      <c r="AZ108" s="75">
        <f t="shared" si="37"/>
        <v>0</v>
      </c>
      <c r="BA108" s="75">
        <f t="shared" si="38"/>
        <v>0</v>
      </c>
      <c r="BB108" s="75">
        <f t="shared" si="39"/>
        <v>0</v>
      </c>
      <c r="BC108" s="75">
        <f t="shared" si="40"/>
        <v>0</v>
      </c>
      <c r="BD108" s="75">
        <f t="shared" si="41"/>
        <v>0</v>
      </c>
    </row>
    <row r="109" spans="1:56" ht="15" thickBot="1" x14ac:dyDescent="0.4">
      <c r="A109" s="9" t="s">
        <v>371</v>
      </c>
      <c r="B109" s="10"/>
      <c r="C109" s="10" t="s">
        <v>372</v>
      </c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F109" s="102"/>
      <c r="AG109" s="9" t="s">
        <v>371</v>
      </c>
      <c r="AH109" s="10"/>
      <c r="AI109" s="94" t="s">
        <v>372</v>
      </c>
      <c r="AJ109" s="10"/>
      <c r="AK109" s="10"/>
      <c r="AL109" s="10"/>
      <c r="AM109" s="10"/>
      <c r="AN109" s="10">
        <v>7899</v>
      </c>
      <c r="AO109" s="108"/>
      <c r="AP109" s="77">
        <f t="shared" si="44"/>
        <v>0</v>
      </c>
      <c r="AQ109" s="77">
        <f t="shared" si="45"/>
        <v>0</v>
      </c>
      <c r="AR109" s="77">
        <f t="shared" si="46"/>
        <v>0</v>
      </c>
      <c r="AS109" s="77">
        <f t="shared" si="47"/>
        <v>0</v>
      </c>
      <c r="AT109" s="77">
        <f t="shared" si="48"/>
        <v>0</v>
      </c>
      <c r="AU109" s="77">
        <f t="shared" si="49"/>
        <v>0</v>
      </c>
      <c r="AV109" s="79">
        <f t="shared" si="51"/>
        <v>0</v>
      </c>
      <c r="AW109" s="108"/>
      <c r="AX109" s="75">
        <f t="shared" si="35"/>
        <v>0</v>
      </c>
      <c r="AY109" s="75">
        <f t="shared" si="36"/>
        <v>0</v>
      </c>
      <c r="AZ109" s="75">
        <f t="shared" si="37"/>
        <v>0</v>
      </c>
      <c r="BA109" s="75">
        <f t="shared" si="38"/>
        <v>0</v>
      </c>
      <c r="BB109" s="75">
        <f t="shared" si="39"/>
        <v>0</v>
      </c>
      <c r="BC109" s="75">
        <f t="shared" si="40"/>
        <v>0</v>
      </c>
      <c r="BD109" s="75">
        <f t="shared" si="41"/>
        <v>0</v>
      </c>
    </row>
    <row r="110" spans="1:56" ht="15" thickBot="1" x14ac:dyDescent="0.4">
      <c r="A110" s="9" t="s">
        <v>373</v>
      </c>
      <c r="B110" s="10"/>
      <c r="C110" s="10" t="s">
        <v>374</v>
      </c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F110" s="102"/>
      <c r="AG110" s="9" t="s">
        <v>373</v>
      </c>
      <c r="AH110" s="10"/>
      <c r="AI110" s="94" t="s">
        <v>374</v>
      </c>
      <c r="AJ110" s="10"/>
      <c r="AK110" s="10"/>
      <c r="AL110" s="10"/>
      <c r="AM110" s="10"/>
      <c r="AN110" s="10"/>
      <c r="AO110" s="108"/>
      <c r="AP110" s="77">
        <f t="shared" si="44"/>
        <v>0</v>
      </c>
      <c r="AQ110" s="77">
        <f t="shared" si="45"/>
        <v>0</v>
      </c>
      <c r="AR110" s="77">
        <f t="shared" si="46"/>
        <v>0</v>
      </c>
      <c r="AS110" s="77">
        <f t="shared" si="47"/>
        <v>0</v>
      </c>
      <c r="AT110" s="77">
        <f t="shared" si="48"/>
        <v>0</v>
      </c>
      <c r="AU110" s="77">
        <f t="shared" si="49"/>
        <v>0</v>
      </c>
      <c r="AV110" s="79">
        <f t="shared" si="51"/>
        <v>0</v>
      </c>
      <c r="AW110" s="108"/>
      <c r="AX110" s="75">
        <f t="shared" si="35"/>
        <v>0</v>
      </c>
      <c r="AY110" s="75">
        <f t="shared" si="36"/>
        <v>0</v>
      </c>
      <c r="AZ110" s="75">
        <f t="shared" si="37"/>
        <v>0</v>
      </c>
      <c r="BA110" s="75">
        <f t="shared" si="38"/>
        <v>0</v>
      </c>
      <c r="BB110" s="75">
        <f t="shared" si="39"/>
        <v>0</v>
      </c>
      <c r="BC110" s="75">
        <f t="shared" si="40"/>
        <v>0</v>
      </c>
      <c r="BD110" s="75">
        <f t="shared" si="41"/>
        <v>0</v>
      </c>
    </row>
    <row r="111" spans="1:56" ht="15" thickBot="1" x14ac:dyDescent="0.4">
      <c r="A111" s="9" t="s">
        <v>375</v>
      </c>
      <c r="B111" s="10"/>
      <c r="C111" s="10" t="s">
        <v>376</v>
      </c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F111" s="102"/>
      <c r="AG111" s="9" t="s">
        <v>375</v>
      </c>
      <c r="AH111" s="10"/>
      <c r="AI111" s="94" t="s">
        <v>376</v>
      </c>
      <c r="AJ111" s="10"/>
      <c r="AK111" s="10"/>
      <c r="AL111" s="10"/>
      <c r="AM111" s="10"/>
      <c r="AN111" s="10"/>
      <c r="AO111" s="108"/>
      <c r="AP111" s="77">
        <f t="shared" si="44"/>
        <v>0</v>
      </c>
      <c r="AQ111" s="77">
        <f t="shared" si="45"/>
        <v>0</v>
      </c>
      <c r="AR111" s="77">
        <f t="shared" si="46"/>
        <v>0</v>
      </c>
      <c r="AS111" s="77">
        <f t="shared" si="47"/>
        <v>0</v>
      </c>
      <c r="AT111" s="77">
        <f t="shared" si="48"/>
        <v>0</v>
      </c>
      <c r="AU111" s="77">
        <f t="shared" si="49"/>
        <v>0</v>
      </c>
      <c r="AV111" s="79">
        <f t="shared" si="51"/>
        <v>0</v>
      </c>
      <c r="AW111" s="108"/>
      <c r="AX111" s="75">
        <f t="shared" si="35"/>
        <v>0</v>
      </c>
      <c r="AY111" s="75">
        <f t="shared" si="36"/>
        <v>0</v>
      </c>
      <c r="AZ111" s="75">
        <f t="shared" si="37"/>
        <v>0</v>
      </c>
      <c r="BA111" s="75">
        <f t="shared" si="38"/>
        <v>0</v>
      </c>
      <c r="BB111" s="75">
        <f t="shared" si="39"/>
        <v>0</v>
      </c>
      <c r="BC111" s="75">
        <f t="shared" si="40"/>
        <v>0</v>
      </c>
      <c r="BD111" s="75">
        <f t="shared" si="41"/>
        <v>0</v>
      </c>
    </row>
    <row r="112" spans="1:56" ht="15" thickBot="1" x14ac:dyDescent="0.4">
      <c r="A112" s="9" t="s">
        <v>377</v>
      </c>
      <c r="B112" s="10"/>
      <c r="C112" s="10" t="s">
        <v>378</v>
      </c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F112" s="103"/>
      <c r="AG112" s="41" t="s">
        <v>377</v>
      </c>
      <c r="AH112" s="42"/>
      <c r="AI112" s="95" t="s">
        <v>378</v>
      </c>
      <c r="AJ112" s="42"/>
      <c r="AK112" s="42"/>
      <c r="AL112" s="42"/>
      <c r="AM112" s="42"/>
      <c r="AN112" s="42"/>
      <c r="AO112" s="109"/>
      <c r="AP112" s="80">
        <f t="shared" si="44"/>
        <v>0</v>
      </c>
      <c r="AQ112" s="80">
        <f t="shared" si="45"/>
        <v>0</v>
      </c>
      <c r="AR112" s="80">
        <f t="shared" si="46"/>
        <v>0</v>
      </c>
      <c r="AS112" s="80">
        <f t="shared" si="47"/>
        <v>0</v>
      </c>
      <c r="AT112" s="80">
        <f t="shared" si="48"/>
        <v>0</v>
      </c>
      <c r="AU112" s="80">
        <f t="shared" si="49"/>
        <v>0</v>
      </c>
      <c r="AV112" s="81">
        <f t="shared" si="51"/>
        <v>0</v>
      </c>
      <c r="AW112" s="109"/>
      <c r="AX112" s="75">
        <f t="shared" si="35"/>
        <v>0</v>
      </c>
      <c r="AY112" s="75">
        <f t="shared" si="36"/>
        <v>0</v>
      </c>
      <c r="AZ112" s="75">
        <f t="shared" si="37"/>
        <v>0</v>
      </c>
      <c r="BA112" s="75">
        <f t="shared" si="38"/>
        <v>0</v>
      </c>
      <c r="BB112" s="75">
        <f t="shared" si="39"/>
        <v>0</v>
      </c>
      <c r="BC112" s="75">
        <f t="shared" si="40"/>
        <v>0</v>
      </c>
      <c r="BD112" s="75">
        <f t="shared" si="41"/>
        <v>0</v>
      </c>
    </row>
    <row r="113" spans="40:40" x14ac:dyDescent="0.35">
      <c r="AN113" s="5"/>
    </row>
  </sheetData>
  <mergeCells count="34">
    <mergeCell ref="B2:AD2"/>
    <mergeCell ref="BF19:BF28"/>
    <mergeCell ref="BF6:BF8"/>
    <mergeCell ref="BF9:BF18"/>
    <mergeCell ref="AH2:AN2"/>
    <mergeCell ref="AF5:AF16"/>
    <mergeCell ref="AF17:AF28"/>
    <mergeCell ref="AO29:AO40"/>
    <mergeCell ref="AO41:AO52"/>
    <mergeCell ref="AO53:AO64"/>
    <mergeCell ref="BG4:BL4"/>
    <mergeCell ref="AO5:AO16"/>
    <mergeCell ref="AO17:AO28"/>
    <mergeCell ref="AF77:AF88"/>
    <mergeCell ref="AO101:AO112"/>
    <mergeCell ref="AO65:AO76"/>
    <mergeCell ref="AO77:AO88"/>
    <mergeCell ref="AO89:AO100"/>
    <mergeCell ref="AF89:AF100"/>
    <mergeCell ref="AF101:AF112"/>
    <mergeCell ref="AX2:BD2"/>
    <mergeCell ref="AW5:AW16"/>
    <mergeCell ref="AW17:AW28"/>
    <mergeCell ref="AW29:AW40"/>
    <mergeCell ref="AW41:AW52"/>
    <mergeCell ref="AW53:AW64"/>
    <mergeCell ref="AW65:AW76"/>
    <mergeCell ref="AW77:AW88"/>
    <mergeCell ref="AW89:AW100"/>
    <mergeCell ref="AW101:AW112"/>
    <mergeCell ref="AF29:AF40"/>
    <mergeCell ref="AF41:AF52"/>
    <mergeCell ref="AF53:AF64"/>
    <mergeCell ref="AF65:AF76"/>
  </mergeCells>
  <phoneticPr fontId="16" type="noConversion"/>
  <conditionalFormatting sqref="B5:AD10 B11:P11 R11:AD11 B12:AD112 BG6:BL28">
    <cfRule type="duplicateValues" dxfId="99" priority="13"/>
  </conditionalFormatting>
  <conditionalFormatting sqref="AH5:AN24 AH25:AM112 AN25:AN113 BG6:BL8 BN6:BQ8">
    <cfRule type="duplicateValues" dxfId="98" priority="7"/>
  </conditionalFormatting>
  <conditionalFormatting sqref="AH5:AN24 AH25:AM112 AN25:AN113 BG6:BL28">
    <cfRule type="duplicateValues" dxfId="97" priority="12"/>
  </conditionalFormatting>
  <conditionalFormatting sqref="AO5:AO112">
    <cfRule type="colorScale" priority="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O4:BD4">
    <cfRule type="containsText" dxfId="96" priority="10" operator="containsText" text="AABC">
      <formula>NOT(ISERROR(SEARCH("AABC",AO4)))</formula>
    </cfRule>
    <cfRule type="containsText" dxfId="95" priority="11" operator="containsText" text="ABCD">
      <formula>NOT(ISERROR(SEARCH("ABCD",AO4)))</formula>
    </cfRule>
  </conditionalFormatting>
  <conditionalFormatting sqref="AP5:AV112">
    <cfRule type="colorScale" priority="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W5:AW112">
    <cfRule type="colorScale" priority="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W5:BD112">
    <cfRule type="colorScale" priority="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X5:BD112">
    <cfRule type="colorScale" priority="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H5:AN112">
    <cfRule type="duplicateValues" dxfId="94" priority="1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6B7A7-F3F9-4113-9C8F-2E0FE3B556A4}">
  <dimension ref="B1:D14"/>
  <sheetViews>
    <sheetView workbookViewId="0">
      <selection activeCell="D14" sqref="D14"/>
    </sheetView>
  </sheetViews>
  <sheetFormatPr defaultRowHeight="14.5" x14ac:dyDescent="0.35"/>
  <cols>
    <col min="2" max="2" width="8.1796875" style="15" customWidth="1"/>
    <col min="4" max="4" width="14.81640625" bestFit="1" customWidth="1"/>
  </cols>
  <sheetData>
    <row r="1" spans="2:4" x14ac:dyDescent="0.35">
      <c r="B1" s="15" t="s">
        <v>115</v>
      </c>
      <c r="C1">
        <v>24</v>
      </c>
    </row>
    <row r="2" spans="2:4" x14ac:dyDescent="0.35">
      <c r="B2" s="15" t="s">
        <v>151</v>
      </c>
      <c r="C2">
        <v>24</v>
      </c>
    </row>
    <row r="3" spans="2:4" x14ac:dyDescent="0.35">
      <c r="B3" s="15">
        <v>4588</v>
      </c>
      <c r="C3">
        <v>12</v>
      </c>
    </row>
    <row r="4" spans="2:4" x14ac:dyDescent="0.35">
      <c r="B4" s="15" t="s">
        <v>271</v>
      </c>
      <c r="C4">
        <v>12</v>
      </c>
    </row>
    <row r="5" spans="2:4" x14ac:dyDescent="0.35">
      <c r="B5" s="15">
        <v>4667</v>
      </c>
      <c r="C5">
        <v>12</v>
      </c>
    </row>
    <row r="6" spans="2:4" x14ac:dyDescent="0.35">
      <c r="B6" s="15" t="s">
        <v>280</v>
      </c>
      <c r="C6">
        <v>12</v>
      </c>
    </row>
    <row r="7" spans="2:4" x14ac:dyDescent="0.35">
      <c r="B7" s="15" t="s">
        <v>296</v>
      </c>
      <c r="C7">
        <v>12</v>
      </c>
    </row>
    <row r="8" spans="2:4" x14ac:dyDescent="0.35">
      <c r="B8" s="15" t="s">
        <v>311</v>
      </c>
      <c r="C8">
        <v>12</v>
      </c>
    </row>
    <row r="9" spans="2:4" x14ac:dyDescent="0.35">
      <c r="B9" s="15" t="s">
        <v>318</v>
      </c>
      <c r="C9">
        <v>24</v>
      </c>
    </row>
    <row r="10" spans="2:4" x14ac:dyDescent="0.35">
      <c r="B10" s="15">
        <v>1889</v>
      </c>
      <c r="C10">
        <v>12</v>
      </c>
    </row>
    <row r="11" spans="2:4" x14ac:dyDescent="0.35">
      <c r="B11" s="15" t="s">
        <v>329</v>
      </c>
      <c r="C11">
        <v>24</v>
      </c>
    </row>
    <row r="12" spans="2:4" x14ac:dyDescent="0.35">
      <c r="C12">
        <f>SUM(C1:C11)</f>
        <v>180</v>
      </c>
    </row>
    <row r="13" spans="2:4" x14ac:dyDescent="0.35">
      <c r="D13" s="99">
        <f>15000000</f>
        <v>15000000</v>
      </c>
    </row>
    <row r="14" spans="2:4" x14ac:dyDescent="0.35">
      <c r="D14" s="100">
        <f>D13/180</f>
        <v>83333.333333333328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X113"/>
  <sheetViews>
    <sheetView topLeftCell="H11" zoomScaleNormal="100" workbookViewId="0">
      <selection activeCell="AR19" sqref="AR19"/>
    </sheetView>
  </sheetViews>
  <sheetFormatPr defaultColWidth="8.453125" defaultRowHeight="14.5" x14ac:dyDescent="0.35"/>
  <cols>
    <col min="1" max="1" width="4.1796875" style="1" customWidth="1"/>
    <col min="2" max="4" width="4.54296875" style="1" customWidth="1"/>
    <col min="5" max="5" width="4.81640625" style="1" customWidth="1"/>
    <col min="6" max="6" width="5.1796875" style="1" customWidth="1"/>
    <col min="7" max="8" width="4.54296875" style="1" customWidth="1"/>
    <col min="9" max="9" width="4.453125" style="1" customWidth="1"/>
    <col min="10" max="12" width="4.54296875" style="1" customWidth="1"/>
    <col min="13" max="13" width="4.453125" style="1" customWidth="1"/>
    <col min="14" max="16" width="4.54296875" style="1" customWidth="1"/>
    <col min="17" max="17" width="4.453125" style="1" customWidth="1"/>
    <col min="18" max="20" width="4.54296875" style="1" customWidth="1"/>
    <col min="21" max="21" width="4.453125" style="1" customWidth="1"/>
    <col min="22" max="24" width="4.54296875" style="1" customWidth="1"/>
    <col min="25" max="25" width="4.453125" style="1" customWidth="1"/>
    <col min="26" max="28" width="4.54296875" style="1" customWidth="1"/>
    <col min="29" max="29" width="4.453125" style="1" customWidth="1"/>
    <col min="30" max="30" width="4.54296875" style="1" customWidth="1"/>
    <col min="32" max="32" width="3.81640625" style="1" customWidth="1"/>
    <col min="33" max="33" width="8.7265625" style="1" customWidth="1"/>
    <col min="34" max="35" width="5.1796875" style="1" customWidth="1"/>
    <col min="36" max="38" width="5.1796875" style="2" customWidth="1"/>
    <col min="39" max="39" width="11.26953125" style="3" customWidth="1"/>
    <col min="40" max="40" width="8.7265625" style="3" customWidth="1"/>
    <col min="43" max="50" width="8.453125" customWidth="1"/>
  </cols>
  <sheetData>
    <row r="2" spans="1:50" ht="15.75" customHeight="1" x14ac:dyDescent="0.35"/>
    <row r="3" spans="1:50" ht="15.75" customHeight="1" x14ac:dyDescent="0.35">
      <c r="B3" s="130" t="s">
        <v>379</v>
      </c>
      <c r="C3" s="118"/>
      <c r="D3" s="118"/>
      <c r="E3" s="118"/>
      <c r="F3" s="118"/>
      <c r="G3" s="118"/>
      <c r="H3" s="118"/>
      <c r="I3" s="118"/>
      <c r="J3" s="118"/>
      <c r="K3" s="118"/>
      <c r="L3" s="118"/>
      <c r="M3" s="118"/>
      <c r="N3" s="118"/>
      <c r="O3" s="118"/>
      <c r="P3" s="118"/>
      <c r="Q3" s="118"/>
      <c r="R3" s="118"/>
      <c r="S3" s="118"/>
      <c r="T3" s="118"/>
      <c r="U3" s="118"/>
      <c r="V3" s="118"/>
      <c r="W3" s="118"/>
      <c r="X3" s="118"/>
      <c r="Y3" s="118"/>
      <c r="Z3" s="118"/>
      <c r="AA3" s="118"/>
      <c r="AB3" s="118"/>
      <c r="AC3" s="118"/>
      <c r="AD3" s="119"/>
    </row>
    <row r="4" spans="1:50" ht="15" customHeight="1" x14ac:dyDescent="0.35"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  <c r="M4" s="4" t="s">
        <v>13</v>
      </c>
      <c r="N4" s="4" t="s">
        <v>14</v>
      </c>
      <c r="O4" s="4" t="s">
        <v>15</v>
      </c>
      <c r="P4" s="4" t="s">
        <v>16</v>
      </c>
      <c r="Q4" s="4" t="s">
        <v>17</v>
      </c>
      <c r="R4" s="4" t="s">
        <v>18</v>
      </c>
      <c r="S4" s="4" t="s">
        <v>19</v>
      </c>
      <c r="T4" s="4" t="s">
        <v>20</v>
      </c>
      <c r="U4" s="4" t="s">
        <v>21</v>
      </c>
      <c r="V4" s="4" t="s">
        <v>22</v>
      </c>
      <c r="W4" s="4" t="s">
        <v>23</v>
      </c>
      <c r="X4" s="4" t="s">
        <v>24</v>
      </c>
      <c r="Y4" s="4" t="s">
        <v>25</v>
      </c>
      <c r="Z4" s="4" t="s">
        <v>26</v>
      </c>
      <c r="AA4" s="4" t="s">
        <v>27</v>
      </c>
      <c r="AB4" s="4" t="s">
        <v>28</v>
      </c>
      <c r="AC4" s="4" t="s">
        <v>29</v>
      </c>
      <c r="AD4" s="4" t="s">
        <v>30</v>
      </c>
    </row>
    <row r="5" spans="1:50" ht="28.5" customHeight="1" x14ac:dyDescent="0.35">
      <c r="A5" s="5"/>
      <c r="B5" s="6" t="s">
        <v>31</v>
      </c>
      <c r="C5" s="6" t="s">
        <v>32</v>
      </c>
      <c r="D5" s="7" t="s">
        <v>33</v>
      </c>
      <c r="E5" s="7" t="s">
        <v>34</v>
      </c>
      <c r="F5" s="7" t="s">
        <v>35</v>
      </c>
      <c r="G5" s="6" t="s">
        <v>31</v>
      </c>
      <c r="H5" s="6" t="s">
        <v>32</v>
      </c>
      <c r="I5" s="7" t="s">
        <v>33</v>
      </c>
      <c r="J5" s="7" t="s">
        <v>34</v>
      </c>
      <c r="K5" s="6" t="s">
        <v>31</v>
      </c>
      <c r="L5" s="6" t="s">
        <v>32</v>
      </c>
      <c r="M5" s="7" t="s">
        <v>33</v>
      </c>
      <c r="N5" s="7" t="s">
        <v>34</v>
      </c>
      <c r="O5" s="6" t="s">
        <v>31</v>
      </c>
      <c r="P5" s="6" t="s">
        <v>32</v>
      </c>
      <c r="Q5" s="7" t="s">
        <v>33</v>
      </c>
      <c r="R5" s="7" t="s">
        <v>34</v>
      </c>
      <c r="S5" s="6" t="s">
        <v>31</v>
      </c>
      <c r="T5" s="6" t="s">
        <v>32</v>
      </c>
      <c r="U5" s="7" t="s">
        <v>33</v>
      </c>
      <c r="V5" s="7" t="s">
        <v>34</v>
      </c>
      <c r="W5" s="6" t="s">
        <v>31</v>
      </c>
      <c r="X5" s="6" t="s">
        <v>32</v>
      </c>
      <c r="Y5" s="7" t="s">
        <v>33</v>
      </c>
      <c r="Z5" s="7" t="s">
        <v>34</v>
      </c>
      <c r="AA5" s="6" t="s">
        <v>31</v>
      </c>
      <c r="AB5" s="6" t="s">
        <v>32</v>
      </c>
      <c r="AC5" s="7" t="s">
        <v>33</v>
      </c>
      <c r="AD5" s="7" t="s">
        <v>34</v>
      </c>
      <c r="AJ5" s="18" t="s">
        <v>43</v>
      </c>
      <c r="AK5" s="18" t="s">
        <v>44</v>
      </c>
      <c r="AL5" s="18" t="s">
        <v>45</v>
      </c>
      <c r="AM5" s="8" t="s">
        <v>380</v>
      </c>
      <c r="AN5" s="8" t="s">
        <v>381</v>
      </c>
      <c r="AO5" s="16" t="s">
        <v>382</v>
      </c>
    </row>
    <row r="6" spans="1:50" ht="15" customHeight="1" x14ac:dyDescent="0.35">
      <c r="A6" s="9" t="s">
        <v>37</v>
      </c>
      <c r="B6" s="10" t="s">
        <v>38</v>
      </c>
      <c r="C6" s="10" t="s">
        <v>39</v>
      </c>
      <c r="D6" s="10" t="s">
        <v>40</v>
      </c>
      <c r="E6" s="10" t="s">
        <v>41</v>
      </c>
      <c r="F6" s="10" t="s">
        <v>42</v>
      </c>
      <c r="G6" s="10">
        <v>1234</v>
      </c>
      <c r="H6" s="10">
        <v>1123</v>
      </c>
      <c r="I6" s="10">
        <v>1122</v>
      </c>
      <c r="J6" s="10">
        <v>1112</v>
      </c>
      <c r="K6" s="10">
        <v>2345</v>
      </c>
      <c r="L6" s="10">
        <v>2234</v>
      </c>
      <c r="M6" s="10">
        <v>2233</v>
      </c>
      <c r="N6" s="10">
        <v>2223</v>
      </c>
      <c r="O6" s="10">
        <v>3456</v>
      </c>
      <c r="P6" s="10">
        <v>3345</v>
      </c>
      <c r="Q6" s="10">
        <v>3344</v>
      </c>
      <c r="R6" s="10">
        <v>3334</v>
      </c>
      <c r="S6" s="10">
        <v>4567</v>
      </c>
      <c r="T6" s="10">
        <v>4456</v>
      </c>
      <c r="U6" s="10">
        <v>4455</v>
      </c>
      <c r="V6" s="10">
        <v>4445</v>
      </c>
      <c r="W6" s="10">
        <v>5678</v>
      </c>
      <c r="X6" s="10">
        <v>5567</v>
      </c>
      <c r="Y6" s="10">
        <v>5566</v>
      </c>
      <c r="Z6" s="10">
        <v>5556</v>
      </c>
      <c r="AA6" s="10">
        <v>6789</v>
      </c>
      <c r="AB6" s="10">
        <v>6678</v>
      </c>
      <c r="AC6" s="10">
        <v>6677</v>
      </c>
      <c r="AD6" s="10">
        <v>6667</v>
      </c>
      <c r="AH6" s="123" t="s">
        <v>53</v>
      </c>
      <c r="AI6" s="132" t="b">
        <f>FALSE()</f>
        <v>0</v>
      </c>
      <c r="AJ6" s="10">
        <v>1446</v>
      </c>
      <c r="AK6" s="10">
        <v>3679</v>
      </c>
      <c r="AL6" s="10">
        <v>4566</v>
      </c>
      <c r="AM6" s="11">
        <v>4567</v>
      </c>
      <c r="AN6" s="11" t="s">
        <v>298</v>
      </c>
      <c r="AO6" s="12" t="s">
        <v>124</v>
      </c>
      <c r="AQ6" s="19"/>
      <c r="AR6" s="19"/>
      <c r="AS6" s="19"/>
      <c r="AT6" s="19"/>
      <c r="AU6" s="19"/>
      <c r="AV6" s="19"/>
      <c r="AW6" s="19"/>
      <c r="AX6" s="19"/>
    </row>
    <row r="7" spans="1:50" ht="15" customHeight="1" x14ac:dyDescent="0.35">
      <c r="A7" s="9" t="s">
        <v>48</v>
      </c>
      <c r="B7" s="10" t="s">
        <v>49</v>
      </c>
      <c r="C7" s="10" t="s">
        <v>50</v>
      </c>
      <c r="D7" s="10" t="s">
        <v>51</v>
      </c>
      <c r="E7" s="10" t="s">
        <v>52</v>
      </c>
      <c r="F7" s="10">
        <v>1111</v>
      </c>
      <c r="G7" s="10">
        <v>1235</v>
      </c>
      <c r="H7" s="10">
        <v>1124</v>
      </c>
      <c r="I7" s="10">
        <v>1133</v>
      </c>
      <c r="J7" s="10">
        <v>1113</v>
      </c>
      <c r="K7" s="10">
        <v>2346</v>
      </c>
      <c r="L7" s="10">
        <v>2235</v>
      </c>
      <c r="M7" s="10">
        <v>2244</v>
      </c>
      <c r="N7" s="10">
        <v>2224</v>
      </c>
      <c r="O7" s="10">
        <v>3457</v>
      </c>
      <c r="P7" s="10">
        <v>3346</v>
      </c>
      <c r="Q7" s="10">
        <v>3355</v>
      </c>
      <c r="R7" s="10">
        <v>3335</v>
      </c>
      <c r="S7" s="10">
        <v>4568</v>
      </c>
      <c r="T7" s="10">
        <v>4457</v>
      </c>
      <c r="U7" s="10">
        <v>4466</v>
      </c>
      <c r="V7" s="10">
        <v>4446</v>
      </c>
      <c r="W7" s="10">
        <v>5679</v>
      </c>
      <c r="X7" s="10">
        <v>5568</v>
      </c>
      <c r="Y7" s="10">
        <v>5577</v>
      </c>
      <c r="Z7" s="10">
        <v>5557</v>
      </c>
      <c r="AA7" s="10"/>
      <c r="AB7" s="10">
        <v>6679</v>
      </c>
      <c r="AC7" s="10">
        <v>6688</v>
      </c>
      <c r="AD7" s="10">
        <v>6668</v>
      </c>
      <c r="AH7" s="121"/>
      <c r="AI7" s="121"/>
      <c r="AJ7" s="10">
        <v>2556</v>
      </c>
      <c r="AK7" s="10">
        <v>1237</v>
      </c>
      <c r="AL7" s="10">
        <v>1388</v>
      </c>
      <c r="AM7" s="11" t="s">
        <v>49</v>
      </c>
      <c r="AN7" s="11">
        <v>2449</v>
      </c>
      <c r="AO7" s="12">
        <v>2559</v>
      </c>
      <c r="AQ7" s="19"/>
      <c r="AR7" s="19"/>
      <c r="AS7" s="19"/>
      <c r="AT7" s="19"/>
      <c r="AU7" s="19"/>
      <c r="AV7" s="19"/>
      <c r="AW7" s="19"/>
      <c r="AX7" s="19"/>
    </row>
    <row r="8" spans="1:50" ht="15" customHeight="1" x14ac:dyDescent="0.35">
      <c r="A8" s="9" t="s">
        <v>54</v>
      </c>
      <c r="B8" s="10" t="s">
        <v>55</v>
      </c>
      <c r="C8" s="10" t="s">
        <v>56</v>
      </c>
      <c r="D8" s="10" t="s">
        <v>57</v>
      </c>
      <c r="E8" s="10" t="s">
        <v>58</v>
      </c>
      <c r="F8" s="10">
        <v>2222</v>
      </c>
      <c r="G8" s="10">
        <v>1236</v>
      </c>
      <c r="H8" s="10">
        <v>1125</v>
      </c>
      <c r="I8" s="10">
        <v>1144</v>
      </c>
      <c r="J8" s="10">
        <v>1114</v>
      </c>
      <c r="K8" s="10">
        <v>2347</v>
      </c>
      <c r="L8" s="10">
        <v>2236</v>
      </c>
      <c r="M8" s="10">
        <v>2255</v>
      </c>
      <c r="N8" s="10">
        <v>2225</v>
      </c>
      <c r="O8" s="10">
        <v>3458</v>
      </c>
      <c r="P8" s="10">
        <v>3347</v>
      </c>
      <c r="Q8" s="10">
        <v>3366</v>
      </c>
      <c r="R8" s="10">
        <v>3336</v>
      </c>
      <c r="S8" s="10">
        <v>4569</v>
      </c>
      <c r="T8" s="10">
        <v>4458</v>
      </c>
      <c r="U8" s="10">
        <v>4477</v>
      </c>
      <c r="V8" s="10">
        <v>4447</v>
      </c>
      <c r="W8" s="10">
        <v>5689</v>
      </c>
      <c r="X8" s="10">
        <v>5569</v>
      </c>
      <c r="Y8" s="10">
        <v>5588</v>
      </c>
      <c r="Z8" s="10">
        <v>5558</v>
      </c>
      <c r="AA8" s="10"/>
      <c r="AB8" s="10">
        <v>6689</v>
      </c>
      <c r="AC8" s="10">
        <v>6699</v>
      </c>
      <c r="AD8" s="10">
        <v>6669</v>
      </c>
      <c r="AF8" s="5"/>
      <c r="AH8" s="122"/>
      <c r="AI8" s="122"/>
      <c r="AJ8" s="10">
        <v>2248</v>
      </c>
      <c r="AK8" s="10" t="s">
        <v>64</v>
      </c>
      <c r="AL8" s="10" t="s">
        <v>49</v>
      </c>
      <c r="AM8" s="11">
        <v>2356</v>
      </c>
      <c r="AN8" s="11" t="s">
        <v>119</v>
      </c>
      <c r="AO8" s="12">
        <v>3578</v>
      </c>
      <c r="AQ8" s="19"/>
      <c r="AR8" s="19"/>
      <c r="AS8" s="19"/>
      <c r="AT8" s="19"/>
      <c r="AU8" s="19"/>
      <c r="AV8" s="19"/>
      <c r="AW8" s="19"/>
      <c r="AX8" s="19"/>
    </row>
    <row r="9" spans="1:50" ht="15" customHeight="1" x14ac:dyDescent="0.35">
      <c r="A9" s="9" t="s">
        <v>59</v>
      </c>
      <c r="B9" s="10" t="s">
        <v>60</v>
      </c>
      <c r="C9" s="10" t="s">
        <v>61</v>
      </c>
      <c r="D9" s="10" t="s">
        <v>62</v>
      </c>
      <c r="E9" s="10" t="s">
        <v>63</v>
      </c>
      <c r="F9" s="10">
        <v>3333</v>
      </c>
      <c r="G9" s="10">
        <v>1237</v>
      </c>
      <c r="H9" s="10">
        <v>1126</v>
      </c>
      <c r="I9" s="10">
        <v>1155</v>
      </c>
      <c r="J9" s="10">
        <v>1115</v>
      </c>
      <c r="K9" s="10">
        <v>2348</v>
      </c>
      <c r="L9" s="10">
        <v>2237</v>
      </c>
      <c r="M9" s="10">
        <v>2266</v>
      </c>
      <c r="N9" s="10">
        <v>2226</v>
      </c>
      <c r="O9" s="10">
        <v>3459</v>
      </c>
      <c r="P9" s="10">
        <v>3348</v>
      </c>
      <c r="Q9" s="10">
        <v>3377</v>
      </c>
      <c r="R9" s="10">
        <v>3337</v>
      </c>
      <c r="S9" s="10">
        <v>4578</v>
      </c>
      <c r="T9" s="10">
        <v>4459</v>
      </c>
      <c r="U9" s="10">
        <v>4488</v>
      </c>
      <c r="V9" s="10">
        <v>4448</v>
      </c>
      <c r="W9" s="10">
        <v>5789</v>
      </c>
      <c r="X9" s="10">
        <v>5578</v>
      </c>
      <c r="Y9" s="10">
        <v>5599</v>
      </c>
      <c r="Z9" s="10">
        <v>5559</v>
      </c>
      <c r="AA9" s="10"/>
      <c r="AB9" s="10">
        <v>6778</v>
      </c>
      <c r="AC9" s="10">
        <v>7799</v>
      </c>
      <c r="AD9" s="10">
        <v>6777</v>
      </c>
      <c r="AF9" s="5"/>
      <c r="AH9" s="123" t="s">
        <v>70</v>
      </c>
      <c r="AI9" s="131" t="b">
        <f>FALSE()</f>
        <v>0</v>
      </c>
      <c r="AJ9" s="10">
        <v>5699</v>
      </c>
      <c r="AK9" s="10">
        <v>1137</v>
      </c>
      <c r="AL9" s="10" t="s">
        <v>71</v>
      </c>
      <c r="AM9" s="11">
        <v>3679</v>
      </c>
      <c r="AN9" s="11">
        <v>1237</v>
      </c>
      <c r="AO9" s="12" t="s">
        <v>190</v>
      </c>
      <c r="AQ9" s="19"/>
      <c r="AR9" s="19"/>
      <c r="AS9" s="19"/>
      <c r="AT9" s="19"/>
      <c r="AU9" s="19"/>
      <c r="AV9" s="19"/>
      <c r="AW9" s="19"/>
      <c r="AX9" s="19"/>
    </row>
    <row r="10" spans="1:50" ht="15" customHeight="1" x14ac:dyDescent="0.35">
      <c r="A10" s="9" t="s">
        <v>65</v>
      </c>
      <c r="B10" s="10" t="s">
        <v>66</v>
      </c>
      <c r="C10" s="10" t="s">
        <v>67</v>
      </c>
      <c r="D10" s="10" t="s">
        <v>68</v>
      </c>
      <c r="E10" s="10" t="s">
        <v>69</v>
      </c>
      <c r="F10" s="10">
        <v>4444</v>
      </c>
      <c r="G10" s="10">
        <v>1238</v>
      </c>
      <c r="H10" s="10">
        <v>1127</v>
      </c>
      <c r="I10" s="10">
        <v>1166</v>
      </c>
      <c r="J10" s="10">
        <v>1116</v>
      </c>
      <c r="K10" s="10">
        <v>2349</v>
      </c>
      <c r="L10" s="10">
        <v>2238</v>
      </c>
      <c r="M10" s="10">
        <v>2277</v>
      </c>
      <c r="N10" s="10">
        <v>2227</v>
      </c>
      <c r="O10" s="10">
        <v>3467</v>
      </c>
      <c r="P10" s="10">
        <v>3349</v>
      </c>
      <c r="Q10" s="10">
        <v>3388</v>
      </c>
      <c r="R10" s="10">
        <v>3338</v>
      </c>
      <c r="S10" s="10">
        <v>4579</v>
      </c>
      <c r="T10" s="10">
        <v>4467</v>
      </c>
      <c r="U10" s="10">
        <v>4499</v>
      </c>
      <c r="V10" s="10">
        <v>4449</v>
      </c>
      <c r="W10" s="10"/>
      <c r="X10" s="10">
        <v>5579</v>
      </c>
      <c r="Y10" s="10"/>
      <c r="Z10" s="10">
        <v>5666</v>
      </c>
      <c r="AA10" s="10"/>
      <c r="AB10" s="10">
        <v>6779</v>
      </c>
      <c r="AC10" s="10"/>
      <c r="AD10" s="10">
        <v>6888</v>
      </c>
      <c r="AF10" s="5"/>
      <c r="AH10" s="121"/>
      <c r="AI10" s="121"/>
      <c r="AJ10" s="10">
        <v>2356</v>
      </c>
      <c r="AK10" s="10">
        <v>2446</v>
      </c>
      <c r="AL10" s="10">
        <v>1248</v>
      </c>
      <c r="AM10" s="11">
        <v>1137</v>
      </c>
      <c r="AN10" s="11" t="s">
        <v>176</v>
      </c>
      <c r="AO10" s="12" t="s">
        <v>222</v>
      </c>
      <c r="AQ10" s="19"/>
      <c r="AR10" s="19"/>
      <c r="AS10" s="19"/>
      <c r="AT10" s="19"/>
      <c r="AU10" s="19"/>
      <c r="AV10" s="19"/>
      <c r="AW10" s="19"/>
      <c r="AX10" s="19"/>
    </row>
    <row r="11" spans="1:50" ht="15" customHeight="1" x14ac:dyDescent="0.35">
      <c r="A11" s="9" t="s">
        <v>72</v>
      </c>
      <c r="B11" s="10" t="s">
        <v>73</v>
      </c>
      <c r="C11" s="10" t="s">
        <v>74</v>
      </c>
      <c r="D11" s="10" t="s">
        <v>75</v>
      </c>
      <c r="E11" s="10" t="s">
        <v>76</v>
      </c>
      <c r="F11" s="10">
        <v>5555</v>
      </c>
      <c r="G11" s="10">
        <v>1239</v>
      </c>
      <c r="H11" s="10">
        <v>1128</v>
      </c>
      <c r="I11" s="10">
        <v>1177</v>
      </c>
      <c r="J11" s="10">
        <v>1117</v>
      </c>
      <c r="K11" s="10">
        <v>2356</v>
      </c>
      <c r="L11" s="10">
        <v>2239</v>
      </c>
      <c r="M11" s="10">
        <v>2288</v>
      </c>
      <c r="N11" s="10">
        <v>2228</v>
      </c>
      <c r="O11" s="10">
        <v>3468</v>
      </c>
      <c r="P11" s="10">
        <v>3356</v>
      </c>
      <c r="Q11" s="10">
        <v>3399</v>
      </c>
      <c r="R11" s="10">
        <v>3339</v>
      </c>
      <c r="S11" s="10">
        <v>4589</v>
      </c>
      <c r="T11" s="10">
        <v>4468</v>
      </c>
      <c r="U11" s="10"/>
      <c r="V11" s="10">
        <v>4555</v>
      </c>
      <c r="W11" s="10"/>
      <c r="X11" s="10">
        <v>5589</v>
      </c>
      <c r="Y11" s="10"/>
      <c r="Z11" s="10">
        <v>5777</v>
      </c>
      <c r="AA11" s="10"/>
      <c r="AB11" s="10">
        <v>6788</v>
      </c>
      <c r="AC11" s="10"/>
      <c r="AD11" s="10">
        <v>6999</v>
      </c>
      <c r="AF11" s="5"/>
      <c r="AH11" s="121"/>
      <c r="AI11" s="121"/>
      <c r="AJ11" s="10">
        <v>3679</v>
      </c>
      <c r="AK11" s="10">
        <v>1339</v>
      </c>
      <c r="AL11" s="10" t="s">
        <v>38</v>
      </c>
      <c r="AM11" s="11" t="s">
        <v>71</v>
      </c>
      <c r="AN11" s="11">
        <v>1337</v>
      </c>
      <c r="AO11" s="12" t="s">
        <v>250</v>
      </c>
      <c r="AQ11" s="19"/>
      <c r="AR11" s="19"/>
      <c r="AS11" s="19"/>
      <c r="AT11" s="19"/>
      <c r="AU11" s="19"/>
      <c r="AV11" s="19"/>
      <c r="AW11" s="19"/>
      <c r="AX11" s="19"/>
    </row>
    <row r="12" spans="1:50" ht="15" customHeight="1" x14ac:dyDescent="0.35">
      <c r="A12" s="9" t="s">
        <v>77</v>
      </c>
      <c r="B12" s="10" t="s">
        <v>78</v>
      </c>
      <c r="C12" s="10" t="s">
        <v>79</v>
      </c>
      <c r="D12" s="10" t="s">
        <v>80</v>
      </c>
      <c r="E12" s="10" t="s">
        <v>81</v>
      </c>
      <c r="F12" s="10">
        <v>6666</v>
      </c>
      <c r="G12" s="10">
        <v>1245</v>
      </c>
      <c r="H12" s="10">
        <v>1129</v>
      </c>
      <c r="I12" s="10">
        <v>1188</v>
      </c>
      <c r="J12" s="10">
        <v>1118</v>
      </c>
      <c r="K12" s="10">
        <v>2357</v>
      </c>
      <c r="L12" s="10">
        <v>2245</v>
      </c>
      <c r="M12" s="10">
        <v>2299</v>
      </c>
      <c r="N12" s="10">
        <v>2229</v>
      </c>
      <c r="O12" s="10">
        <v>3469</v>
      </c>
      <c r="P12" s="10">
        <v>3357</v>
      </c>
      <c r="Q12" s="10">
        <v>3455</v>
      </c>
      <c r="R12" s="10">
        <v>3444</v>
      </c>
      <c r="S12" s="10">
        <v>4678</v>
      </c>
      <c r="T12" s="10">
        <v>4469</v>
      </c>
      <c r="U12" s="10"/>
      <c r="V12" s="10">
        <v>4666</v>
      </c>
      <c r="W12" s="10"/>
      <c r="X12" s="10">
        <v>5667</v>
      </c>
      <c r="Y12" s="10"/>
      <c r="Z12" s="10">
        <v>5888</v>
      </c>
      <c r="AA12" s="10"/>
      <c r="AB12" s="10">
        <v>6799</v>
      </c>
      <c r="AC12" s="10"/>
      <c r="AD12" s="10"/>
      <c r="AF12" s="5"/>
      <c r="AH12" s="121"/>
      <c r="AI12" s="121"/>
      <c r="AJ12" s="10" t="s">
        <v>51</v>
      </c>
      <c r="AK12" s="10">
        <v>3667</v>
      </c>
      <c r="AL12" s="10">
        <v>5588</v>
      </c>
      <c r="AM12" s="11">
        <v>2446</v>
      </c>
      <c r="AN12" s="11">
        <v>1489</v>
      </c>
      <c r="AO12" s="12" t="s">
        <v>292</v>
      </c>
      <c r="AQ12" s="19"/>
      <c r="AR12" s="19"/>
      <c r="AS12" s="19"/>
      <c r="AT12" s="19"/>
      <c r="AU12" s="19"/>
      <c r="AV12" s="19"/>
      <c r="AW12" s="19"/>
      <c r="AX12" s="19"/>
    </row>
    <row r="13" spans="1:50" ht="15" customHeight="1" x14ac:dyDescent="0.35">
      <c r="A13" s="9" t="s">
        <v>82</v>
      </c>
      <c r="B13" s="10" t="s">
        <v>83</v>
      </c>
      <c r="C13" s="10" t="s">
        <v>84</v>
      </c>
      <c r="D13" s="10" t="s">
        <v>85</v>
      </c>
      <c r="E13" s="10" t="s">
        <v>86</v>
      </c>
      <c r="F13" s="10">
        <v>7777</v>
      </c>
      <c r="G13" s="10">
        <v>1246</v>
      </c>
      <c r="H13" s="10">
        <v>1134</v>
      </c>
      <c r="I13" s="10">
        <v>1199</v>
      </c>
      <c r="J13" s="10">
        <v>1119</v>
      </c>
      <c r="K13" s="10">
        <v>2358</v>
      </c>
      <c r="L13" s="10">
        <v>2246</v>
      </c>
      <c r="M13" s="10"/>
      <c r="N13" s="10">
        <v>2333</v>
      </c>
      <c r="O13" s="10">
        <v>3478</v>
      </c>
      <c r="P13" s="10">
        <v>3358</v>
      </c>
      <c r="Q13" s="10"/>
      <c r="R13" s="10">
        <v>3555</v>
      </c>
      <c r="S13" s="10">
        <v>4679</v>
      </c>
      <c r="T13" s="10">
        <v>4478</v>
      </c>
      <c r="U13" s="10"/>
      <c r="V13" s="10">
        <v>4777</v>
      </c>
      <c r="W13" s="10"/>
      <c r="X13" s="10">
        <v>5668</v>
      </c>
      <c r="Y13" s="10"/>
      <c r="Z13" s="10">
        <v>5999</v>
      </c>
      <c r="AA13" s="10"/>
      <c r="AB13" s="10">
        <v>6889</v>
      </c>
      <c r="AC13" s="10"/>
      <c r="AD13" s="10"/>
      <c r="AF13" s="5"/>
      <c r="AH13" s="121"/>
      <c r="AI13" s="121"/>
      <c r="AJ13" s="10">
        <v>1445</v>
      </c>
      <c r="AK13" s="10">
        <v>2568</v>
      </c>
      <c r="AL13" s="10">
        <v>6678</v>
      </c>
      <c r="AM13" s="11" t="s">
        <v>38</v>
      </c>
      <c r="AN13" s="11">
        <v>2349</v>
      </c>
      <c r="AO13" s="12">
        <v>1247</v>
      </c>
      <c r="AQ13" s="19"/>
      <c r="AR13" s="19"/>
      <c r="AS13" s="19"/>
      <c r="AT13" s="19"/>
      <c r="AU13" s="19"/>
      <c r="AV13" s="19"/>
      <c r="AW13" s="19"/>
      <c r="AX13" s="19"/>
    </row>
    <row r="14" spans="1:50" ht="15" customHeight="1" x14ac:dyDescent="0.35">
      <c r="A14" s="9" t="s">
        <v>87</v>
      </c>
      <c r="B14" s="10" t="s">
        <v>88</v>
      </c>
      <c r="C14" s="10" t="s">
        <v>89</v>
      </c>
      <c r="D14" s="10" t="s">
        <v>90</v>
      </c>
      <c r="E14" s="10" t="s">
        <v>91</v>
      </c>
      <c r="F14" s="10">
        <v>8888</v>
      </c>
      <c r="G14" s="10">
        <v>1247</v>
      </c>
      <c r="H14" s="10">
        <v>1135</v>
      </c>
      <c r="I14" s="10"/>
      <c r="J14" s="10">
        <v>1222</v>
      </c>
      <c r="K14" s="10">
        <v>2359</v>
      </c>
      <c r="L14" s="10">
        <v>2247</v>
      </c>
      <c r="M14" s="10"/>
      <c r="N14" s="10">
        <v>2444</v>
      </c>
      <c r="O14" s="10">
        <v>3479</v>
      </c>
      <c r="P14" s="10">
        <v>3359</v>
      </c>
      <c r="Q14" s="10"/>
      <c r="R14" s="10">
        <v>3666</v>
      </c>
      <c r="S14" s="10">
        <v>4689</v>
      </c>
      <c r="T14" s="10">
        <v>4479</v>
      </c>
      <c r="U14" s="10"/>
      <c r="V14" s="10">
        <v>4888</v>
      </c>
      <c r="W14" s="10"/>
      <c r="X14" s="10">
        <v>5669</v>
      </c>
      <c r="Y14" s="10"/>
      <c r="Z14" s="10"/>
      <c r="AA14" s="10"/>
      <c r="AB14" s="10">
        <v>6899</v>
      </c>
      <c r="AC14" s="10"/>
      <c r="AD14" s="10"/>
      <c r="AF14" s="5"/>
      <c r="AH14" s="121"/>
      <c r="AI14" s="121"/>
      <c r="AJ14" s="10" t="s">
        <v>96</v>
      </c>
      <c r="AK14" s="10">
        <v>1344</v>
      </c>
      <c r="AL14" s="10" t="s">
        <v>97</v>
      </c>
      <c r="AM14" s="11">
        <v>5588</v>
      </c>
      <c r="AN14" s="11">
        <v>2589</v>
      </c>
      <c r="AO14" s="12">
        <v>1369</v>
      </c>
      <c r="AQ14" s="19"/>
      <c r="AR14" s="19"/>
      <c r="AS14" s="19"/>
      <c r="AT14" s="19"/>
      <c r="AU14" s="19"/>
      <c r="AV14" s="19"/>
      <c r="AW14" s="19"/>
      <c r="AX14" s="19"/>
    </row>
    <row r="15" spans="1:50" ht="15" customHeight="1" x14ac:dyDescent="0.35">
      <c r="A15" s="9" t="s">
        <v>92</v>
      </c>
      <c r="B15" s="10" t="s">
        <v>93</v>
      </c>
      <c r="C15" s="10" t="s">
        <v>94</v>
      </c>
      <c r="D15" s="10">
        <v>7788</v>
      </c>
      <c r="E15" s="10" t="s">
        <v>95</v>
      </c>
      <c r="F15" s="10">
        <v>9999</v>
      </c>
      <c r="G15" s="10">
        <v>1248</v>
      </c>
      <c r="H15" s="10">
        <v>1136</v>
      </c>
      <c r="I15" s="10"/>
      <c r="J15" s="10">
        <v>1333</v>
      </c>
      <c r="K15" s="10">
        <v>2367</v>
      </c>
      <c r="L15" s="10">
        <v>2248</v>
      </c>
      <c r="M15" s="10"/>
      <c r="N15" s="10">
        <v>2555</v>
      </c>
      <c r="O15" s="10">
        <v>3489</v>
      </c>
      <c r="P15" s="10">
        <v>3367</v>
      </c>
      <c r="Q15" s="10"/>
      <c r="R15" s="10">
        <v>3777</v>
      </c>
      <c r="S15" s="10">
        <v>4789</v>
      </c>
      <c r="T15" s="10">
        <v>4489</v>
      </c>
      <c r="U15" s="10"/>
      <c r="V15" s="10">
        <v>4999</v>
      </c>
      <c r="W15" s="10"/>
      <c r="X15" s="10">
        <v>5677</v>
      </c>
      <c r="Y15" s="10"/>
      <c r="Z15" s="10"/>
      <c r="AA15" s="10"/>
      <c r="AB15" s="10">
        <v>7789</v>
      </c>
      <c r="AC15" s="10"/>
      <c r="AD15" s="10"/>
      <c r="AF15" s="5"/>
      <c r="AH15" s="121"/>
      <c r="AI15" s="121"/>
      <c r="AJ15" s="10" t="s">
        <v>102</v>
      </c>
      <c r="AK15" s="10">
        <v>2337</v>
      </c>
      <c r="AL15" s="10">
        <v>6667</v>
      </c>
      <c r="AM15" s="11">
        <v>6678</v>
      </c>
      <c r="AN15" s="11" t="s">
        <v>332</v>
      </c>
      <c r="AO15" s="12">
        <v>1338</v>
      </c>
      <c r="AQ15" s="19"/>
      <c r="AR15" s="19"/>
      <c r="AS15" s="19"/>
      <c r="AT15" s="19"/>
      <c r="AU15" s="19"/>
      <c r="AV15" s="19"/>
      <c r="AW15" s="19"/>
      <c r="AX15" s="19"/>
    </row>
    <row r="16" spans="1:50" ht="15" customHeight="1" x14ac:dyDescent="0.35">
      <c r="A16" s="9" t="s">
        <v>98</v>
      </c>
      <c r="B16" s="10" t="s">
        <v>99</v>
      </c>
      <c r="C16" s="10" t="s">
        <v>100</v>
      </c>
      <c r="D16" s="10">
        <v>8899</v>
      </c>
      <c r="E16" s="10" t="s">
        <v>101</v>
      </c>
      <c r="F16" s="10"/>
      <c r="G16" s="10">
        <v>1249</v>
      </c>
      <c r="H16" s="10">
        <v>1137</v>
      </c>
      <c r="I16" s="10"/>
      <c r="J16" s="10">
        <v>1444</v>
      </c>
      <c r="K16" s="10">
        <v>2368</v>
      </c>
      <c r="L16" s="10">
        <v>2249</v>
      </c>
      <c r="M16" s="10"/>
      <c r="N16" s="10">
        <v>2666</v>
      </c>
      <c r="O16" s="10">
        <v>3567</v>
      </c>
      <c r="P16" s="10">
        <v>3368</v>
      </c>
      <c r="Q16" s="10"/>
      <c r="R16" s="10">
        <v>3888</v>
      </c>
      <c r="S16" s="10"/>
      <c r="T16" s="10">
        <v>4556</v>
      </c>
      <c r="U16" s="10"/>
      <c r="V16" s="10"/>
      <c r="W16" s="10"/>
      <c r="X16" s="10">
        <v>5688</v>
      </c>
      <c r="Y16" s="10"/>
      <c r="Z16" s="10"/>
      <c r="AA16" s="10"/>
      <c r="AB16" s="10">
        <v>7889</v>
      </c>
      <c r="AC16" s="10"/>
      <c r="AD16" s="10"/>
      <c r="AF16" s="5"/>
      <c r="AH16" s="121"/>
      <c r="AI16" s="121"/>
      <c r="AJ16" s="10" t="s">
        <v>108</v>
      </c>
      <c r="AK16" s="10">
        <v>2489</v>
      </c>
      <c r="AL16" s="10" t="s">
        <v>109</v>
      </c>
      <c r="AM16" s="11" t="s">
        <v>96</v>
      </c>
      <c r="AN16" s="11" t="s">
        <v>78</v>
      </c>
      <c r="AO16" s="12">
        <v>1466</v>
      </c>
      <c r="AQ16" s="19"/>
      <c r="AR16" s="19"/>
      <c r="AS16" s="19"/>
      <c r="AT16" s="19"/>
      <c r="AU16" s="19"/>
      <c r="AV16" s="19"/>
      <c r="AW16" s="19"/>
      <c r="AX16" s="19"/>
    </row>
    <row r="17" spans="1:50" ht="15" customHeight="1" x14ac:dyDescent="0.35">
      <c r="A17" s="9" t="s">
        <v>104</v>
      </c>
      <c r="B17" s="10" t="s">
        <v>105</v>
      </c>
      <c r="C17" s="10" t="s">
        <v>106</v>
      </c>
      <c r="D17" s="10"/>
      <c r="E17" s="10" t="s">
        <v>107</v>
      </c>
      <c r="F17" s="10"/>
      <c r="G17" s="10">
        <v>1256</v>
      </c>
      <c r="H17" s="10">
        <v>1138</v>
      </c>
      <c r="I17" s="10"/>
      <c r="J17" s="10">
        <v>1555</v>
      </c>
      <c r="K17" s="10">
        <v>2369</v>
      </c>
      <c r="L17" s="10">
        <v>2256</v>
      </c>
      <c r="M17" s="10"/>
      <c r="N17" s="10">
        <v>2777</v>
      </c>
      <c r="O17" s="10">
        <v>3568</v>
      </c>
      <c r="P17" s="10">
        <v>3369</v>
      </c>
      <c r="Q17" s="10"/>
      <c r="R17" s="10">
        <v>3999</v>
      </c>
      <c r="S17" s="10"/>
      <c r="T17" s="10">
        <v>4557</v>
      </c>
      <c r="U17" s="10"/>
      <c r="V17" s="10"/>
      <c r="W17" s="10"/>
      <c r="X17" s="10">
        <v>5699</v>
      </c>
      <c r="Y17" s="10"/>
      <c r="Z17" s="10"/>
      <c r="AA17" s="10"/>
      <c r="AB17" s="10">
        <v>7899</v>
      </c>
      <c r="AC17" s="10"/>
      <c r="AD17" s="10"/>
      <c r="AF17" s="5"/>
      <c r="AH17" s="121"/>
      <c r="AI17" s="121"/>
      <c r="AJ17" s="10">
        <v>1347</v>
      </c>
      <c r="AK17" s="10">
        <v>1668</v>
      </c>
      <c r="AL17" s="10" t="s">
        <v>113</v>
      </c>
      <c r="AM17" s="11">
        <v>1344</v>
      </c>
      <c r="AN17" s="11" t="s">
        <v>215</v>
      </c>
      <c r="AO17" s="12" t="s">
        <v>336</v>
      </c>
      <c r="AQ17" s="19"/>
      <c r="AR17" s="19"/>
      <c r="AS17" s="19"/>
      <c r="AT17" s="19"/>
      <c r="AU17" s="19"/>
      <c r="AV17" s="19"/>
      <c r="AW17" s="19"/>
      <c r="AX17" s="19"/>
    </row>
    <row r="18" spans="1:50" ht="15" customHeight="1" x14ac:dyDescent="0.35">
      <c r="A18" s="9" t="s">
        <v>110</v>
      </c>
      <c r="B18" s="10" t="s">
        <v>111</v>
      </c>
      <c r="C18" s="10" t="s">
        <v>108</v>
      </c>
      <c r="D18" s="10"/>
      <c r="E18" s="10" t="s">
        <v>112</v>
      </c>
      <c r="F18" s="10"/>
      <c r="G18" s="10">
        <v>1257</v>
      </c>
      <c r="H18" s="10">
        <v>1139</v>
      </c>
      <c r="I18" s="10"/>
      <c r="J18" s="10">
        <v>1666</v>
      </c>
      <c r="K18" s="10">
        <v>2378</v>
      </c>
      <c r="L18" s="10">
        <v>2257</v>
      </c>
      <c r="M18" s="10"/>
      <c r="N18" s="10">
        <v>2888</v>
      </c>
      <c r="O18" s="10">
        <v>3569</v>
      </c>
      <c r="P18" s="10">
        <v>3378</v>
      </c>
      <c r="Q18" s="10"/>
      <c r="R18" s="10"/>
      <c r="S18" s="10"/>
      <c r="T18" s="10">
        <v>4558</v>
      </c>
      <c r="U18" s="10"/>
      <c r="V18" s="10"/>
      <c r="W18" s="10"/>
      <c r="X18" s="10">
        <v>5778</v>
      </c>
      <c r="Y18" s="10"/>
      <c r="Z18" s="10"/>
      <c r="AA18" s="10"/>
      <c r="AB18" s="10"/>
      <c r="AC18" s="10"/>
      <c r="AD18" s="10"/>
      <c r="AF18" s="5"/>
      <c r="AH18" s="122"/>
      <c r="AI18" s="122"/>
      <c r="AJ18" s="10">
        <v>5689</v>
      </c>
      <c r="AK18" s="10">
        <v>1367</v>
      </c>
      <c r="AL18" s="10">
        <v>1356</v>
      </c>
      <c r="AM18" s="11">
        <v>6667</v>
      </c>
      <c r="AN18" s="11" t="s">
        <v>151</v>
      </c>
      <c r="AO18" s="12" t="s">
        <v>120</v>
      </c>
      <c r="AQ18" s="19"/>
      <c r="AR18" s="19"/>
      <c r="AS18" s="19"/>
      <c r="AT18" s="19"/>
      <c r="AU18" s="19"/>
      <c r="AV18" s="19"/>
      <c r="AW18" s="19"/>
      <c r="AX18" s="19"/>
    </row>
    <row r="19" spans="1:50" ht="15" customHeight="1" x14ac:dyDescent="0.35">
      <c r="A19" s="9" t="s">
        <v>114</v>
      </c>
      <c r="B19" s="10" t="s">
        <v>115</v>
      </c>
      <c r="C19" s="10" t="s">
        <v>116</v>
      </c>
      <c r="D19" s="10"/>
      <c r="E19" s="10" t="s">
        <v>117</v>
      </c>
      <c r="F19" s="10"/>
      <c r="G19" s="10">
        <v>1258</v>
      </c>
      <c r="H19" s="10">
        <v>1145</v>
      </c>
      <c r="I19" s="10"/>
      <c r="J19" s="10">
        <v>1777</v>
      </c>
      <c r="K19" s="10">
        <v>2379</v>
      </c>
      <c r="L19" s="10">
        <v>2258</v>
      </c>
      <c r="M19" s="10"/>
      <c r="N19" s="10">
        <v>2999</v>
      </c>
      <c r="O19" s="10">
        <v>3578</v>
      </c>
      <c r="P19" s="10">
        <v>3379</v>
      </c>
      <c r="Q19" s="10"/>
      <c r="R19" s="10"/>
      <c r="S19" s="10"/>
      <c r="T19" s="10">
        <v>4559</v>
      </c>
      <c r="U19" s="10"/>
      <c r="V19" s="10"/>
      <c r="W19" s="10"/>
      <c r="X19" s="10">
        <v>5779</v>
      </c>
      <c r="Y19" s="10"/>
      <c r="Z19" s="10"/>
      <c r="AA19" s="10"/>
      <c r="AB19" s="10"/>
      <c r="AC19" s="10"/>
      <c r="AD19" s="10"/>
      <c r="AF19" s="5"/>
      <c r="AH19" s="123" t="s">
        <v>122</v>
      </c>
      <c r="AI19" s="133" t="b">
        <f>FALSE()</f>
        <v>0</v>
      </c>
      <c r="AJ19" s="10">
        <v>1679</v>
      </c>
      <c r="AK19" s="10" t="s">
        <v>49</v>
      </c>
      <c r="AL19" s="10">
        <v>2356</v>
      </c>
      <c r="AM19" s="11">
        <v>2489</v>
      </c>
      <c r="AN19" s="11">
        <v>3579</v>
      </c>
      <c r="AO19" s="12" t="s">
        <v>295</v>
      </c>
      <c r="AQ19" s="19"/>
      <c r="AR19" s="19"/>
      <c r="AS19" s="19"/>
      <c r="AT19" s="19"/>
      <c r="AU19" s="19"/>
      <c r="AV19" s="19"/>
      <c r="AW19" s="19"/>
      <c r="AX19" s="19"/>
    </row>
    <row r="20" spans="1:50" ht="15" customHeight="1" x14ac:dyDescent="0.35">
      <c r="A20" s="9" t="s">
        <v>118</v>
      </c>
      <c r="B20" s="10" t="s">
        <v>119</v>
      </c>
      <c r="C20" s="10" t="s">
        <v>120</v>
      </c>
      <c r="D20" s="10"/>
      <c r="E20" s="10" t="s">
        <v>121</v>
      </c>
      <c r="F20" s="10"/>
      <c r="G20" s="10">
        <v>1259</v>
      </c>
      <c r="H20" s="10">
        <v>1146</v>
      </c>
      <c r="I20" s="10"/>
      <c r="J20" s="10">
        <v>1888</v>
      </c>
      <c r="K20" s="10">
        <v>2389</v>
      </c>
      <c r="L20" s="10">
        <v>2259</v>
      </c>
      <c r="M20" s="10"/>
      <c r="N20" s="10"/>
      <c r="O20" s="10">
        <v>3579</v>
      </c>
      <c r="P20" s="10">
        <v>3389</v>
      </c>
      <c r="Q20" s="10"/>
      <c r="R20" s="10"/>
      <c r="S20" s="10"/>
      <c r="T20" s="10">
        <v>4566</v>
      </c>
      <c r="U20" s="10"/>
      <c r="V20" s="10"/>
      <c r="W20" s="10"/>
      <c r="X20" s="10">
        <v>5788</v>
      </c>
      <c r="Y20" s="10"/>
      <c r="Z20" s="10"/>
      <c r="AA20" s="10"/>
      <c r="AB20" s="10"/>
      <c r="AC20" s="10"/>
      <c r="AD20" s="10"/>
      <c r="AF20" s="5"/>
      <c r="AH20" s="121"/>
      <c r="AI20" s="121"/>
      <c r="AJ20" s="10">
        <v>5578</v>
      </c>
      <c r="AK20" s="10">
        <v>1356</v>
      </c>
      <c r="AL20" s="10">
        <v>1355</v>
      </c>
      <c r="AM20" s="11">
        <v>5699</v>
      </c>
      <c r="AN20" s="11">
        <v>1377</v>
      </c>
      <c r="AO20" s="12" t="s">
        <v>318</v>
      </c>
      <c r="AQ20" s="19"/>
      <c r="AR20" s="19"/>
      <c r="AS20" s="19"/>
      <c r="AT20" s="19"/>
      <c r="AU20" s="19"/>
      <c r="AV20" s="19"/>
      <c r="AW20" s="19"/>
      <c r="AX20" s="19"/>
    </row>
    <row r="21" spans="1:50" ht="15" customHeight="1" x14ac:dyDescent="0.35">
      <c r="A21" s="9" t="s">
        <v>123</v>
      </c>
      <c r="B21" s="10" t="s">
        <v>124</v>
      </c>
      <c r="C21" s="10" t="s">
        <v>125</v>
      </c>
      <c r="D21" s="10"/>
      <c r="E21" s="10" t="s">
        <v>126</v>
      </c>
      <c r="F21" s="10"/>
      <c r="G21" s="10">
        <v>1267</v>
      </c>
      <c r="H21" s="10">
        <v>1147</v>
      </c>
      <c r="I21" s="10"/>
      <c r="J21" s="10">
        <v>1999</v>
      </c>
      <c r="K21" s="10">
        <v>2456</v>
      </c>
      <c r="L21" s="10">
        <v>2267</v>
      </c>
      <c r="M21" s="10"/>
      <c r="N21" s="10"/>
      <c r="O21" s="10">
        <v>3589</v>
      </c>
      <c r="P21" s="10">
        <v>3445</v>
      </c>
      <c r="Q21" s="10"/>
      <c r="R21" s="10"/>
      <c r="S21" s="10"/>
      <c r="T21" s="10">
        <v>4577</v>
      </c>
      <c r="U21" s="10"/>
      <c r="V21" s="10"/>
      <c r="W21" s="10"/>
      <c r="X21" s="10">
        <v>5799</v>
      </c>
      <c r="Y21" s="10"/>
      <c r="Z21" s="10"/>
      <c r="AA21" s="10"/>
      <c r="AB21" s="10"/>
      <c r="AC21" s="10"/>
      <c r="AD21" s="10"/>
      <c r="AF21" s="5"/>
      <c r="AH21" s="121"/>
      <c r="AI21" s="121"/>
      <c r="AJ21" s="10">
        <v>1344</v>
      </c>
      <c r="AK21" s="10" t="s">
        <v>94</v>
      </c>
      <c r="AL21" s="10" t="s">
        <v>106</v>
      </c>
      <c r="AM21" s="11">
        <v>1356</v>
      </c>
      <c r="AN21" s="11" t="s">
        <v>116</v>
      </c>
      <c r="AO21" s="12">
        <v>1459</v>
      </c>
      <c r="AQ21" s="19"/>
      <c r="AR21" s="19"/>
      <c r="AS21" s="19"/>
      <c r="AT21" s="19"/>
      <c r="AU21" s="19"/>
      <c r="AV21" s="19"/>
      <c r="AW21" s="19"/>
      <c r="AX21" s="19"/>
    </row>
    <row r="22" spans="1:50" ht="15" customHeight="1" x14ac:dyDescent="0.35">
      <c r="A22" s="9" t="s">
        <v>127</v>
      </c>
      <c r="B22" s="10" t="s">
        <v>128</v>
      </c>
      <c r="C22" s="10" t="s">
        <v>129</v>
      </c>
      <c r="D22" s="10"/>
      <c r="E22" s="10" t="s">
        <v>130</v>
      </c>
      <c r="F22" s="10"/>
      <c r="G22" s="10">
        <v>1268</v>
      </c>
      <c r="H22" s="10">
        <v>1148</v>
      </c>
      <c r="I22" s="10"/>
      <c r="J22" s="10"/>
      <c r="K22" s="10">
        <v>2457</v>
      </c>
      <c r="L22" s="10">
        <v>2268</v>
      </c>
      <c r="M22" s="10"/>
      <c r="N22" s="10"/>
      <c r="O22" s="10">
        <v>3678</v>
      </c>
      <c r="P22" s="10">
        <v>3446</v>
      </c>
      <c r="Q22" s="10"/>
      <c r="R22" s="10"/>
      <c r="S22" s="10"/>
      <c r="T22" s="10">
        <v>4588</v>
      </c>
      <c r="U22" s="10"/>
      <c r="V22" s="10"/>
      <c r="W22" s="10"/>
      <c r="X22" s="10">
        <v>5889</v>
      </c>
      <c r="Y22" s="10"/>
      <c r="Z22" s="10"/>
      <c r="AA22" s="10"/>
      <c r="AB22" s="10"/>
      <c r="AC22" s="10"/>
      <c r="AD22" s="10"/>
      <c r="AF22" s="5"/>
      <c r="AH22" s="121"/>
      <c r="AI22" s="121"/>
      <c r="AJ22" s="10">
        <v>1457</v>
      </c>
      <c r="AK22" s="10" t="s">
        <v>135</v>
      </c>
      <c r="AL22" s="10">
        <v>3599</v>
      </c>
      <c r="AM22" s="11">
        <v>1347</v>
      </c>
      <c r="AN22" s="11">
        <v>1167</v>
      </c>
      <c r="AO22" s="12">
        <v>1678</v>
      </c>
      <c r="AQ22" s="19"/>
      <c r="AR22" s="19"/>
      <c r="AS22" s="19"/>
      <c r="AT22" s="19"/>
      <c r="AU22" s="19"/>
      <c r="AV22" s="19"/>
      <c r="AW22" s="19"/>
      <c r="AX22" s="19"/>
    </row>
    <row r="23" spans="1:50" ht="15" customHeight="1" x14ac:dyDescent="0.35">
      <c r="A23" s="9" t="s">
        <v>131</v>
      </c>
      <c r="B23" s="10" t="s">
        <v>132</v>
      </c>
      <c r="C23" s="10" t="s">
        <v>133</v>
      </c>
      <c r="D23" s="10"/>
      <c r="E23" s="10" t="s">
        <v>134</v>
      </c>
      <c r="F23" s="10"/>
      <c r="G23" s="10">
        <v>1269</v>
      </c>
      <c r="H23" s="10">
        <v>1149</v>
      </c>
      <c r="I23" s="10"/>
      <c r="J23" s="10"/>
      <c r="K23" s="10">
        <v>2458</v>
      </c>
      <c r="L23" s="10">
        <v>2269</v>
      </c>
      <c r="M23" s="10"/>
      <c r="N23" s="10"/>
      <c r="O23" s="10">
        <v>3679</v>
      </c>
      <c r="P23" s="10">
        <v>3447</v>
      </c>
      <c r="Q23" s="10"/>
      <c r="R23" s="10"/>
      <c r="S23" s="10"/>
      <c r="T23" s="10">
        <v>4599</v>
      </c>
      <c r="U23" s="10"/>
      <c r="V23" s="10"/>
      <c r="W23" s="10"/>
      <c r="X23" s="10">
        <v>5899</v>
      </c>
      <c r="Y23" s="10"/>
      <c r="Z23" s="10"/>
      <c r="AA23" s="10"/>
      <c r="AB23" s="10"/>
      <c r="AC23" s="10"/>
      <c r="AD23" s="10"/>
      <c r="AF23" s="5"/>
      <c r="AH23" s="121"/>
      <c r="AI23" s="121"/>
      <c r="AJ23" s="10">
        <v>3568</v>
      </c>
      <c r="AK23" s="10" t="s">
        <v>95</v>
      </c>
      <c r="AL23" s="10" t="s">
        <v>139</v>
      </c>
      <c r="AM23" s="11">
        <v>1679</v>
      </c>
      <c r="AN23" s="11">
        <v>4558</v>
      </c>
      <c r="AO23" s="12">
        <v>1669</v>
      </c>
      <c r="AQ23" s="19"/>
      <c r="AR23" s="19"/>
      <c r="AS23" s="19"/>
      <c r="AT23" s="19"/>
      <c r="AU23" s="19"/>
      <c r="AV23" s="19"/>
      <c r="AW23" s="19"/>
      <c r="AX23" s="19"/>
    </row>
    <row r="24" spans="1:50" ht="15" customHeight="1" x14ac:dyDescent="0.35">
      <c r="A24" s="9" t="s">
        <v>136</v>
      </c>
      <c r="B24" s="10" t="s">
        <v>137</v>
      </c>
      <c r="C24" s="10" t="s">
        <v>138</v>
      </c>
      <c r="D24" s="10"/>
      <c r="E24" s="10">
        <v>7778</v>
      </c>
      <c r="F24" s="10"/>
      <c r="G24" s="10">
        <v>1278</v>
      </c>
      <c r="H24" s="10">
        <v>1156</v>
      </c>
      <c r="I24" s="10"/>
      <c r="J24" s="10"/>
      <c r="K24" s="10">
        <v>2459</v>
      </c>
      <c r="L24" s="10">
        <v>2278</v>
      </c>
      <c r="M24" s="10"/>
      <c r="N24" s="10"/>
      <c r="O24" s="10">
        <v>3689</v>
      </c>
      <c r="P24" s="10">
        <v>3448</v>
      </c>
      <c r="Q24" s="10"/>
      <c r="R24" s="10"/>
      <c r="S24" s="10"/>
      <c r="T24" s="10">
        <v>4667</v>
      </c>
      <c r="U24" s="10"/>
      <c r="V24" s="10"/>
      <c r="W24" s="10"/>
      <c r="X24" s="10"/>
      <c r="Y24" s="10"/>
      <c r="Z24" s="10"/>
      <c r="AA24" s="10"/>
      <c r="AB24" s="10"/>
      <c r="AC24" s="10"/>
      <c r="AD24" s="10"/>
      <c r="AF24" s="5"/>
      <c r="AH24" s="121"/>
      <c r="AI24" s="121"/>
      <c r="AJ24" s="10">
        <v>1137</v>
      </c>
      <c r="AK24" s="10">
        <v>1589</v>
      </c>
      <c r="AL24" s="10" t="s">
        <v>143</v>
      </c>
      <c r="AM24" s="11">
        <v>1457</v>
      </c>
      <c r="AN24" s="11">
        <v>6689</v>
      </c>
      <c r="AO24" s="12">
        <v>1889</v>
      </c>
      <c r="AQ24" s="19"/>
      <c r="AR24" s="19"/>
      <c r="AS24" s="19"/>
      <c r="AT24" s="19"/>
      <c r="AU24" s="19"/>
      <c r="AV24" s="19"/>
      <c r="AW24" s="19"/>
      <c r="AX24" s="19"/>
    </row>
    <row r="25" spans="1:50" ht="15" customHeight="1" x14ac:dyDescent="0.35">
      <c r="A25" s="9" t="s">
        <v>140</v>
      </c>
      <c r="B25" s="10" t="s">
        <v>141</v>
      </c>
      <c r="C25" s="10" t="s">
        <v>142</v>
      </c>
      <c r="D25" s="10"/>
      <c r="E25" s="10">
        <v>7779</v>
      </c>
      <c r="F25" s="10"/>
      <c r="G25" s="10">
        <v>1279</v>
      </c>
      <c r="H25" s="10">
        <v>1157</v>
      </c>
      <c r="I25" s="10"/>
      <c r="J25" s="10"/>
      <c r="K25" s="10">
        <v>2467</v>
      </c>
      <c r="L25" s="10">
        <v>2279</v>
      </c>
      <c r="M25" s="10"/>
      <c r="N25" s="10"/>
      <c r="O25" s="10">
        <v>3789</v>
      </c>
      <c r="P25" s="10">
        <v>3449</v>
      </c>
      <c r="Q25" s="10"/>
      <c r="R25" s="10"/>
      <c r="S25" s="10"/>
      <c r="T25" s="10">
        <v>4668</v>
      </c>
      <c r="U25" s="10"/>
      <c r="V25" s="10"/>
      <c r="W25" s="10"/>
      <c r="X25" s="10"/>
      <c r="Y25" s="10"/>
      <c r="Z25" s="10"/>
      <c r="AA25" s="10"/>
      <c r="AB25" s="10"/>
      <c r="AC25" s="10"/>
      <c r="AD25" s="10"/>
      <c r="AF25" s="5"/>
      <c r="AH25" s="121"/>
      <c r="AI25" s="121"/>
      <c r="AJ25" s="10">
        <v>1335</v>
      </c>
      <c r="AK25" s="10">
        <v>1335</v>
      </c>
      <c r="AL25" s="10">
        <v>1456</v>
      </c>
      <c r="AM25" s="11">
        <v>3568</v>
      </c>
      <c r="AN25" s="11" t="s">
        <v>201</v>
      </c>
      <c r="AO25" s="12">
        <v>2348</v>
      </c>
      <c r="AQ25" s="19"/>
      <c r="AR25" s="19"/>
      <c r="AS25" s="19"/>
      <c r="AT25" s="19"/>
      <c r="AU25" s="19"/>
      <c r="AV25" s="19"/>
      <c r="AW25" s="19"/>
      <c r="AX25" s="19"/>
    </row>
    <row r="26" spans="1:50" ht="15" customHeight="1" x14ac:dyDescent="0.35">
      <c r="A26" s="9" t="s">
        <v>144</v>
      </c>
      <c r="B26" s="10" t="s">
        <v>145</v>
      </c>
      <c r="C26" s="10" t="s">
        <v>139</v>
      </c>
      <c r="D26" s="10"/>
      <c r="E26" s="10">
        <v>7888</v>
      </c>
      <c r="F26" s="10"/>
      <c r="G26" s="10">
        <v>1289</v>
      </c>
      <c r="H26" s="10">
        <v>1158</v>
      </c>
      <c r="I26" s="10"/>
      <c r="J26" s="10"/>
      <c r="K26" s="10">
        <v>2468</v>
      </c>
      <c r="L26" s="10">
        <v>2289</v>
      </c>
      <c r="M26" s="10"/>
      <c r="N26" s="10"/>
      <c r="O26" s="10"/>
      <c r="P26" s="10">
        <v>3466</v>
      </c>
      <c r="Q26" s="10"/>
      <c r="R26" s="10"/>
      <c r="S26" s="10"/>
      <c r="T26" s="10">
        <v>4669</v>
      </c>
      <c r="U26" s="10"/>
      <c r="V26" s="10"/>
      <c r="W26" s="10"/>
      <c r="X26" s="10"/>
      <c r="Y26" s="10"/>
      <c r="Z26" s="10"/>
      <c r="AA26" s="10"/>
      <c r="AB26" s="10"/>
      <c r="AC26" s="10"/>
      <c r="AD26" s="10"/>
      <c r="AF26" s="5"/>
      <c r="AH26" s="121"/>
      <c r="AI26" s="121"/>
      <c r="AJ26" s="10" t="s">
        <v>149</v>
      </c>
      <c r="AK26" s="10">
        <v>1246</v>
      </c>
      <c r="AL26" s="10">
        <v>2448</v>
      </c>
      <c r="AM26" s="11">
        <v>1335</v>
      </c>
      <c r="AN26" s="11" t="s">
        <v>261</v>
      </c>
      <c r="AO26" s="12">
        <v>2579</v>
      </c>
      <c r="AQ26" s="19"/>
      <c r="AR26" s="19"/>
      <c r="AS26" s="19"/>
      <c r="AT26" s="19"/>
      <c r="AU26" s="19"/>
      <c r="AV26" s="19"/>
      <c r="AW26" s="19"/>
      <c r="AX26" s="19"/>
    </row>
    <row r="27" spans="1:50" ht="15" customHeight="1" x14ac:dyDescent="0.35">
      <c r="A27" s="9" t="s">
        <v>146</v>
      </c>
      <c r="B27" s="10" t="s">
        <v>147</v>
      </c>
      <c r="C27" s="10" t="s">
        <v>148</v>
      </c>
      <c r="D27" s="10"/>
      <c r="E27" s="10">
        <v>7999</v>
      </c>
      <c r="F27" s="10"/>
      <c r="G27" s="10">
        <v>1345</v>
      </c>
      <c r="H27" s="10">
        <v>1159</v>
      </c>
      <c r="I27" s="10"/>
      <c r="J27" s="10"/>
      <c r="K27" s="10">
        <v>2469</v>
      </c>
      <c r="L27" s="10">
        <v>2334</v>
      </c>
      <c r="M27" s="10"/>
      <c r="N27" s="10"/>
      <c r="O27" s="10"/>
      <c r="P27" s="10">
        <v>3477</v>
      </c>
      <c r="Q27" s="10"/>
      <c r="R27" s="10"/>
      <c r="S27" s="10"/>
      <c r="T27" s="10">
        <v>4677</v>
      </c>
      <c r="U27" s="10"/>
      <c r="V27" s="10"/>
      <c r="W27" s="10"/>
      <c r="X27" s="10"/>
      <c r="Y27" s="10"/>
      <c r="Z27" s="10"/>
      <c r="AA27" s="10"/>
      <c r="AB27" s="10"/>
      <c r="AC27" s="10"/>
      <c r="AD27" s="10"/>
      <c r="AF27" s="5"/>
      <c r="AH27" s="121"/>
      <c r="AI27" s="121"/>
      <c r="AJ27" s="10">
        <v>1148</v>
      </c>
      <c r="AK27" s="10" t="s">
        <v>153</v>
      </c>
      <c r="AL27" s="10">
        <v>3668</v>
      </c>
      <c r="AM27" s="11">
        <v>2448</v>
      </c>
      <c r="AN27" s="11" t="s">
        <v>88</v>
      </c>
      <c r="AO27" s="12">
        <v>3689</v>
      </c>
      <c r="AQ27" s="19"/>
      <c r="AR27" s="19"/>
      <c r="AS27" s="19"/>
      <c r="AT27" s="19"/>
      <c r="AU27" s="19"/>
      <c r="AV27" s="19"/>
      <c r="AW27" s="19"/>
      <c r="AX27" s="19"/>
    </row>
    <row r="28" spans="1:50" ht="15" customHeight="1" x14ac:dyDescent="0.35">
      <c r="A28" s="9" t="s">
        <v>150</v>
      </c>
      <c r="B28" s="10" t="s">
        <v>151</v>
      </c>
      <c r="C28" s="10" t="s">
        <v>152</v>
      </c>
      <c r="D28" s="10"/>
      <c r="E28" s="10">
        <v>8889</v>
      </c>
      <c r="F28" s="10"/>
      <c r="G28" s="10">
        <v>1346</v>
      </c>
      <c r="H28" s="10">
        <v>1167</v>
      </c>
      <c r="I28" s="10"/>
      <c r="J28" s="10"/>
      <c r="K28" s="10">
        <v>2478</v>
      </c>
      <c r="L28" s="10">
        <v>2335</v>
      </c>
      <c r="M28" s="10"/>
      <c r="N28" s="10"/>
      <c r="O28" s="10"/>
      <c r="P28" s="10">
        <v>3488</v>
      </c>
      <c r="Q28" s="10"/>
      <c r="R28" s="10"/>
      <c r="S28" s="10"/>
      <c r="T28" s="10">
        <v>4688</v>
      </c>
      <c r="U28" s="10"/>
      <c r="V28" s="10"/>
      <c r="W28" s="10"/>
      <c r="X28" s="10"/>
      <c r="Y28" s="10"/>
      <c r="Z28" s="10"/>
      <c r="AA28" s="10"/>
      <c r="AB28" s="10"/>
      <c r="AC28" s="10"/>
      <c r="AD28" s="10"/>
      <c r="AF28" s="5"/>
      <c r="AH28" s="122"/>
      <c r="AI28" s="122"/>
      <c r="AJ28" s="10">
        <v>1277</v>
      </c>
      <c r="AK28" s="10">
        <v>2678</v>
      </c>
      <c r="AL28" s="10" t="s">
        <v>103</v>
      </c>
      <c r="AM28" s="11" t="s">
        <v>103</v>
      </c>
      <c r="AN28" s="11">
        <v>1249</v>
      </c>
      <c r="AO28" s="12">
        <v>4559</v>
      </c>
      <c r="AQ28" s="19"/>
      <c r="AR28" s="19"/>
      <c r="AS28" s="19"/>
      <c r="AT28" s="19"/>
      <c r="AU28" s="19"/>
      <c r="AV28" s="19"/>
      <c r="AW28" s="19"/>
      <c r="AX28" s="19"/>
    </row>
    <row r="29" spans="1:50" ht="15" customHeight="1" x14ac:dyDescent="0.35">
      <c r="A29" s="9" t="s">
        <v>154</v>
      </c>
      <c r="B29" s="10" t="s">
        <v>155</v>
      </c>
      <c r="C29" s="10" t="s">
        <v>156</v>
      </c>
      <c r="D29" s="10"/>
      <c r="E29" s="10">
        <v>8999</v>
      </c>
      <c r="F29" s="10"/>
      <c r="G29" s="10">
        <v>1347</v>
      </c>
      <c r="H29" s="10">
        <v>1168</v>
      </c>
      <c r="I29" s="10"/>
      <c r="J29" s="10"/>
      <c r="K29" s="10">
        <v>2479</v>
      </c>
      <c r="L29" s="10">
        <v>2336</v>
      </c>
      <c r="M29" s="10"/>
      <c r="N29" s="10"/>
      <c r="O29" s="10"/>
      <c r="P29" s="10">
        <v>3499</v>
      </c>
      <c r="Q29" s="10"/>
      <c r="R29" s="10"/>
      <c r="S29" s="10"/>
      <c r="T29" s="10">
        <v>4699</v>
      </c>
      <c r="U29" s="10"/>
      <c r="V29" s="10"/>
      <c r="W29" s="10"/>
      <c r="X29" s="10"/>
      <c r="Y29" s="10"/>
      <c r="Z29" s="10"/>
      <c r="AA29" s="10"/>
      <c r="AB29" s="10"/>
      <c r="AC29" s="10"/>
      <c r="AD29" s="10"/>
      <c r="AN29" s="3" t="s">
        <v>160</v>
      </c>
    </row>
    <row r="30" spans="1:50" ht="15" customHeight="1" x14ac:dyDescent="0.35">
      <c r="A30" s="9" t="s">
        <v>157</v>
      </c>
      <c r="B30" s="10" t="s">
        <v>158</v>
      </c>
      <c r="C30" s="10" t="s">
        <v>159</v>
      </c>
      <c r="D30" s="10"/>
      <c r="E30" s="10"/>
      <c r="F30" s="10"/>
      <c r="G30" s="10">
        <v>1348</v>
      </c>
      <c r="H30" s="10">
        <v>1169</v>
      </c>
      <c r="I30" s="10"/>
      <c r="J30" s="10"/>
      <c r="K30" s="10">
        <v>2489</v>
      </c>
      <c r="L30" s="10">
        <v>2337</v>
      </c>
      <c r="M30" s="10"/>
      <c r="N30" s="10"/>
      <c r="O30" s="10"/>
      <c r="P30" s="10">
        <v>3556</v>
      </c>
      <c r="Q30" s="10"/>
      <c r="R30" s="10"/>
      <c r="S30" s="10"/>
      <c r="T30" s="10">
        <v>4778</v>
      </c>
      <c r="U30" s="10"/>
      <c r="V30" s="10"/>
      <c r="W30" s="10"/>
      <c r="X30" s="10"/>
      <c r="Y30" s="10"/>
      <c r="Z30" s="10"/>
      <c r="AA30" s="10"/>
      <c r="AB30" s="10"/>
      <c r="AC30" s="10"/>
      <c r="AD30" s="10"/>
    </row>
    <row r="31" spans="1:50" ht="15" customHeight="1" x14ac:dyDescent="0.35">
      <c r="A31" s="9" t="s">
        <v>161</v>
      </c>
      <c r="B31" s="10" t="s">
        <v>162</v>
      </c>
      <c r="C31" s="10" t="s">
        <v>163</v>
      </c>
      <c r="D31" s="10"/>
      <c r="E31" s="10"/>
      <c r="F31" s="10"/>
      <c r="G31" s="10">
        <v>1349</v>
      </c>
      <c r="H31" s="10">
        <v>1178</v>
      </c>
      <c r="I31" s="10"/>
      <c r="J31" s="10"/>
      <c r="K31" s="10">
        <v>2567</v>
      </c>
      <c r="L31" s="10">
        <v>2338</v>
      </c>
      <c r="M31" s="10"/>
      <c r="N31" s="10"/>
      <c r="O31" s="10"/>
      <c r="P31" s="10">
        <v>3557</v>
      </c>
      <c r="Q31" s="10"/>
      <c r="R31" s="10"/>
      <c r="S31" s="10"/>
      <c r="T31" s="10">
        <v>4779</v>
      </c>
      <c r="U31" s="10"/>
      <c r="V31" s="10"/>
      <c r="W31" s="10"/>
      <c r="X31" s="10"/>
      <c r="Y31" s="10"/>
      <c r="Z31" s="10"/>
      <c r="AA31" s="10"/>
      <c r="AB31" s="10"/>
      <c r="AC31" s="10"/>
      <c r="AD31" s="10"/>
      <c r="AI31" s="6" t="s">
        <v>31</v>
      </c>
      <c r="AJ31" s="13" t="s">
        <v>166</v>
      </c>
      <c r="AK31" s="3"/>
      <c r="AL31" s="3"/>
    </row>
    <row r="32" spans="1:50" ht="15" customHeight="1" x14ac:dyDescent="0.35">
      <c r="A32" s="9" t="s">
        <v>164</v>
      </c>
      <c r="B32" s="10" t="s">
        <v>153</v>
      </c>
      <c r="C32" s="10" t="s">
        <v>165</v>
      </c>
      <c r="D32" s="10"/>
      <c r="E32" s="10"/>
      <c r="F32" s="10"/>
      <c r="G32" s="10">
        <v>1356</v>
      </c>
      <c r="H32" s="10">
        <v>1179</v>
      </c>
      <c r="I32" s="10"/>
      <c r="J32" s="10"/>
      <c r="K32" s="10">
        <v>2568</v>
      </c>
      <c r="L32" s="10">
        <v>2339</v>
      </c>
      <c r="M32" s="10"/>
      <c r="N32" s="10"/>
      <c r="O32" s="10"/>
      <c r="P32" s="10">
        <v>3558</v>
      </c>
      <c r="Q32" s="10"/>
      <c r="R32" s="10"/>
      <c r="S32" s="10"/>
      <c r="T32" s="10">
        <v>4788</v>
      </c>
      <c r="U32" s="10"/>
      <c r="V32" s="10"/>
      <c r="W32" s="10"/>
      <c r="X32" s="10"/>
      <c r="Y32" s="10"/>
      <c r="Z32" s="10"/>
      <c r="AA32" s="10"/>
      <c r="AB32" s="10"/>
      <c r="AC32" s="10"/>
      <c r="AD32" s="10"/>
      <c r="AI32" s="6" t="s">
        <v>32</v>
      </c>
      <c r="AJ32" s="13" t="s">
        <v>170</v>
      </c>
      <c r="AK32" s="3"/>
      <c r="AL32" s="3"/>
    </row>
    <row r="33" spans="1:38" ht="15" customHeight="1" x14ac:dyDescent="0.35">
      <c r="A33" s="9" t="s">
        <v>167</v>
      </c>
      <c r="B33" s="10" t="s">
        <v>168</v>
      </c>
      <c r="C33" s="10" t="s">
        <v>169</v>
      </c>
      <c r="D33" s="10"/>
      <c r="E33" s="10"/>
      <c r="F33" s="10"/>
      <c r="G33" s="10">
        <v>1357</v>
      </c>
      <c r="H33" s="10">
        <v>1189</v>
      </c>
      <c r="I33" s="10"/>
      <c r="J33" s="10"/>
      <c r="K33" s="10">
        <v>2569</v>
      </c>
      <c r="L33" s="10">
        <v>2344</v>
      </c>
      <c r="M33" s="10"/>
      <c r="N33" s="10"/>
      <c r="O33" s="10"/>
      <c r="P33" s="10">
        <v>3559</v>
      </c>
      <c r="Q33" s="10"/>
      <c r="R33" s="10"/>
      <c r="S33" s="10"/>
      <c r="T33" s="10">
        <v>4799</v>
      </c>
      <c r="U33" s="10"/>
      <c r="V33" s="10"/>
      <c r="W33" s="10"/>
      <c r="X33" s="10"/>
      <c r="Y33" s="10"/>
      <c r="Z33" s="10"/>
      <c r="AA33" s="10"/>
      <c r="AB33" s="10"/>
      <c r="AC33" s="10"/>
      <c r="AD33" s="10"/>
      <c r="AI33" s="7" t="s">
        <v>33</v>
      </c>
      <c r="AJ33" s="13" t="s">
        <v>174</v>
      </c>
      <c r="AK33" s="3"/>
      <c r="AL33" s="3"/>
    </row>
    <row r="34" spans="1:38" ht="15" customHeight="1" x14ac:dyDescent="0.35">
      <c r="A34" s="9" t="s">
        <v>171</v>
      </c>
      <c r="B34" s="10" t="s">
        <v>172</v>
      </c>
      <c r="C34" s="10" t="s">
        <v>173</v>
      </c>
      <c r="D34" s="10"/>
      <c r="E34" s="10"/>
      <c r="F34" s="10"/>
      <c r="G34" s="10">
        <v>1358</v>
      </c>
      <c r="H34" s="10">
        <v>1223</v>
      </c>
      <c r="I34" s="10"/>
      <c r="J34" s="10"/>
      <c r="K34" s="10">
        <v>2578</v>
      </c>
      <c r="L34" s="10">
        <v>2355</v>
      </c>
      <c r="M34" s="10"/>
      <c r="N34" s="10"/>
      <c r="O34" s="10"/>
      <c r="P34" s="10">
        <v>3566</v>
      </c>
      <c r="Q34" s="10"/>
      <c r="R34" s="10"/>
      <c r="S34" s="10"/>
      <c r="T34" s="10">
        <v>4889</v>
      </c>
      <c r="U34" s="10"/>
      <c r="V34" s="10"/>
      <c r="W34" s="10"/>
      <c r="X34" s="10"/>
      <c r="Y34" s="10"/>
      <c r="Z34" s="10"/>
      <c r="AA34" s="10"/>
      <c r="AB34" s="10"/>
      <c r="AC34" s="10"/>
      <c r="AD34" s="10"/>
      <c r="AI34" s="7" t="s">
        <v>34</v>
      </c>
      <c r="AJ34" s="13" t="s">
        <v>178</v>
      </c>
      <c r="AK34" s="3"/>
      <c r="AL34" s="3"/>
    </row>
    <row r="35" spans="1:38" ht="15" customHeight="1" x14ac:dyDescent="0.35">
      <c r="A35" s="9" t="s">
        <v>175</v>
      </c>
      <c r="B35" s="10" t="s">
        <v>176</v>
      </c>
      <c r="C35" s="10" t="s">
        <v>177</v>
      </c>
      <c r="D35" s="10"/>
      <c r="E35" s="10"/>
      <c r="F35" s="10"/>
      <c r="G35" s="10">
        <v>1359</v>
      </c>
      <c r="H35" s="10">
        <v>1224</v>
      </c>
      <c r="I35" s="10"/>
      <c r="J35" s="10"/>
      <c r="K35" s="10">
        <v>2579</v>
      </c>
      <c r="L35" s="10">
        <v>2366</v>
      </c>
      <c r="M35" s="10"/>
      <c r="N35" s="10"/>
      <c r="O35" s="10"/>
      <c r="P35" s="10">
        <v>3577</v>
      </c>
      <c r="Q35" s="10"/>
      <c r="R35" s="10"/>
      <c r="S35" s="10"/>
      <c r="T35" s="10">
        <v>4899</v>
      </c>
      <c r="U35" s="10"/>
      <c r="V35" s="10"/>
      <c r="W35" s="10"/>
      <c r="X35" s="10"/>
      <c r="Y35" s="10"/>
      <c r="Z35" s="10"/>
      <c r="AA35" s="10"/>
      <c r="AB35" s="10"/>
      <c r="AC35" s="10"/>
      <c r="AD35" s="10"/>
      <c r="AI35" s="7" t="s">
        <v>35</v>
      </c>
      <c r="AJ35" s="13" t="s">
        <v>182</v>
      </c>
      <c r="AK35" s="3"/>
      <c r="AL35" s="3"/>
    </row>
    <row r="36" spans="1:38" ht="15" customHeight="1" x14ac:dyDescent="0.35">
      <c r="A36" s="9" t="s">
        <v>179</v>
      </c>
      <c r="B36" s="10" t="s">
        <v>180</v>
      </c>
      <c r="C36" s="10" t="s">
        <v>181</v>
      </c>
      <c r="D36" s="10"/>
      <c r="E36" s="10"/>
      <c r="F36" s="10"/>
      <c r="G36" s="10">
        <v>1366</v>
      </c>
      <c r="H36" s="10">
        <v>1225</v>
      </c>
      <c r="I36" s="10"/>
      <c r="J36" s="10"/>
      <c r="K36" s="10">
        <v>2589</v>
      </c>
      <c r="L36" s="10">
        <v>2377</v>
      </c>
      <c r="M36" s="10"/>
      <c r="N36" s="10"/>
      <c r="O36" s="10"/>
      <c r="P36" s="10">
        <v>3588</v>
      </c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</row>
    <row r="37" spans="1:38" ht="15" customHeight="1" x14ac:dyDescent="0.35">
      <c r="A37" s="9" t="s">
        <v>183</v>
      </c>
      <c r="B37" s="10" t="s">
        <v>184</v>
      </c>
      <c r="C37" s="10" t="s">
        <v>185</v>
      </c>
      <c r="D37" s="10"/>
      <c r="E37" s="10"/>
      <c r="F37" s="10"/>
      <c r="G37" s="10">
        <v>1367</v>
      </c>
      <c r="H37" s="10">
        <v>1226</v>
      </c>
      <c r="I37" s="10"/>
      <c r="J37" s="10"/>
      <c r="K37" s="10">
        <v>2678</v>
      </c>
      <c r="L37" s="10">
        <v>2388</v>
      </c>
      <c r="M37" s="10"/>
      <c r="N37" s="10"/>
      <c r="O37" s="10"/>
      <c r="P37" s="10">
        <v>3599</v>
      </c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</row>
    <row r="38" spans="1:38" ht="15" customHeight="1" x14ac:dyDescent="0.35">
      <c r="A38" s="9" t="s">
        <v>186</v>
      </c>
      <c r="B38" s="10" t="s">
        <v>187</v>
      </c>
      <c r="C38" s="10" t="s">
        <v>188</v>
      </c>
      <c r="D38" s="10"/>
      <c r="E38" s="10"/>
      <c r="F38" s="10"/>
      <c r="G38" s="10">
        <v>1368</v>
      </c>
      <c r="H38" s="10">
        <v>1227</v>
      </c>
      <c r="I38" s="10"/>
      <c r="J38" s="10"/>
      <c r="K38" s="10">
        <v>2679</v>
      </c>
      <c r="L38" s="10">
        <v>2399</v>
      </c>
      <c r="M38" s="10"/>
      <c r="N38" s="10"/>
      <c r="O38" s="10"/>
      <c r="P38" s="10">
        <v>3667</v>
      </c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</row>
    <row r="39" spans="1:38" ht="15" customHeight="1" x14ac:dyDescent="0.35">
      <c r="A39" s="9" t="s">
        <v>189</v>
      </c>
      <c r="B39" s="10" t="s">
        <v>190</v>
      </c>
      <c r="C39" s="10" t="s">
        <v>191</v>
      </c>
      <c r="D39" s="10"/>
      <c r="E39" s="10"/>
      <c r="F39" s="10"/>
      <c r="G39" s="10">
        <v>1369</v>
      </c>
      <c r="H39" s="10">
        <v>1228</v>
      </c>
      <c r="I39" s="10"/>
      <c r="J39" s="10"/>
      <c r="K39" s="10">
        <v>2689</v>
      </c>
      <c r="L39" s="10">
        <v>2445</v>
      </c>
      <c r="M39" s="10"/>
      <c r="N39" s="10"/>
      <c r="O39" s="10"/>
      <c r="P39" s="10">
        <v>3668</v>
      </c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</row>
    <row r="40" spans="1:38" ht="15" customHeight="1" x14ac:dyDescent="0.35">
      <c r="A40" s="9" t="s">
        <v>192</v>
      </c>
      <c r="B40" s="10" t="s">
        <v>143</v>
      </c>
      <c r="C40" s="10" t="s">
        <v>193</v>
      </c>
      <c r="D40" s="10"/>
      <c r="E40" s="10"/>
      <c r="F40" s="10"/>
      <c r="G40" s="10">
        <v>1378</v>
      </c>
      <c r="H40" s="10">
        <v>1229</v>
      </c>
      <c r="I40" s="10"/>
      <c r="J40" s="10"/>
      <c r="K40" s="10">
        <v>2789</v>
      </c>
      <c r="L40" s="10">
        <v>2446</v>
      </c>
      <c r="M40" s="10"/>
      <c r="N40" s="10"/>
      <c r="O40" s="10"/>
      <c r="P40" s="10">
        <v>3669</v>
      </c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</row>
    <row r="41" spans="1:38" ht="15" customHeight="1" x14ac:dyDescent="0.35">
      <c r="A41" s="9" t="s">
        <v>194</v>
      </c>
      <c r="B41" s="10" t="s">
        <v>195</v>
      </c>
      <c r="C41" s="10" t="s">
        <v>196</v>
      </c>
      <c r="D41" s="10"/>
      <c r="E41" s="10"/>
      <c r="F41" s="10"/>
      <c r="G41" s="10">
        <v>1379</v>
      </c>
      <c r="H41" s="10">
        <v>1233</v>
      </c>
      <c r="I41" s="10"/>
      <c r="J41" s="10"/>
      <c r="K41" s="10"/>
      <c r="L41" s="10">
        <v>2447</v>
      </c>
      <c r="M41" s="10"/>
      <c r="N41" s="10"/>
      <c r="O41" s="10"/>
      <c r="P41" s="10">
        <v>3677</v>
      </c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</row>
    <row r="42" spans="1:38" ht="15" customHeight="1" x14ac:dyDescent="0.35">
      <c r="A42" s="9" t="s">
        <v>197</v>
      </c>
      <c r="B42" s="10" t="s">
        <v>198</v>
      </c>
      <c r="C42" s="10" t="s">
        <v>199</v>
      </c>
      <c r="D42" s="10"/>
      <c r="E42" s="10"/>
      <c r="F42" s="10"/>
      <c r="G42" s="10">
        <v>1389</v>
      </c>
      <c r="H42" s="10">
        <v>1244</v>
      </c>
      <c r="I42" s="10"/>
      <c r="J42" s="10"/>
      <c r="K42" s="10"/>
      <c r="L42" s="10">
        <v>2448</v>
      </c>
      <c r="M42" s="10"/>
      <c r="N42" s="10"/>
      <c r="O42" s="10"/>
      <c r="P42" s="10">
        <v>3688</v>
      </c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</row>
    <row r="43" spans="1:38" ht="15" customHeight="1" x14ac:dyDescent="0.35">
      <c r="A43" s="9" t="s">
        <v>200</v>
      </c>
      <c r="B43" s="10" t="s">
        <v>201</v>
      </c>
      <c r="C43" s="10" t="s">
        <v>202</v>
      </c>
      <c r="D43" s="10"/>
      <c r="E43" s="10"/>
      <c r="F43" s="10"/>
      <c r="G43" s="10">
        <v>1456</v>
      </c>
      <c r="H43" s="10">
        <v>1255</v>
      </c>
      <c r="I43" s="10"/>
      <c r="J43" s="10"/>
      <c r="K43" s="10"/>
      <c r="L43" s="10">
        <v>2449</v>
      </c>
      <c r="M43" s="10"/>
      <c r="N43" s="10"/>
      <c r="O43" s="10"/>
      <c r="P43" s="10">
        <v>3699</v>
      </c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</row>
    <row r="44" spans="1:38" ht="15" customHeight="1" x14ac:dyDescent="0.35">
      <c r="A44" s="9" t="s">
        <v>203</v>
      </c>
      <c r="B44" s="10" t="s">
        <v>103</v>
      </c>
      <c r="C44" s="10" t="s">
        <v>204</v>
      </c>
      <c r="D44" s="10"/>
      <c r="E44" s="10"/>
      <c r="F44" s="10"/>
      <c r="G44" s="10">
        <v>1457</v>
      </c>
      <c r="H44" s="10">
        <v>1266</v>
      </c>
      <c r="I44" s="10"/>
      <c r="J44" s="10"/>
      <c r="K44" s="10"/>
      <c r="L44" s="10">
        <v>2455</v>
      </c>
      <c r="M44" s="10"/>
      <c r="N44" s="10"/>
      <c r="O44" s="10"/>
      <c r="P44" s="10">
        <v>3778</v>
      </c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</row>
    <row r="45" spans="1:38" ht="15" customHeight="1" x14ac:dyDescent="0.35">
      <c r="A45" s="9" t="s">
        <v>205</v>
      </c>
      <c r="B45" s="10" t="s">
        <v>206</v>
      </c>
      <c r="C45" s="10" t="s">
        <v>207</v>
      </c>
      <c r="D45" s="10"/>
      <c r="E45" s="10"/>
      <c r="F45" s="10"/>
      <c r="G45" s="10">
        <v>1458</v>
      </c>
      <c r="H45" s="10">
        <v>1277</v>
      </c>
      <c r="I45" s="10"/>
      <c r="J45" s="10"/>
      <c r="K45" s="10"/>
      <c r="L45" s="10">
        <v>2466</v>
      </c>
      <c r="M45" s="10"/>
      <c r="N45" s="10"/>
      <c r="O45" s="10"/>
      <c r="P45" s="10">
        <v>3779</v>
      </c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</row>
    <row r="46" spans="1:38" ht="15" customHeight="1" x14ac:dyDescent="0.35">
      <c r="A46" s="9" t="s">
        <v>208</v>
      </c>
      <c r="B46" s="10" t="s">
        <v>209</v>
      </c>
      <c r="C46" s="10" t="s">
        <v>210</v>
      </c>
      <c r="D46" s="10"/>
      <c r="E46" s="10"/>
      <c r="F46" s="10"/>
      <c r="G46" s="10">
        <v>1459</v>
      </c>
      <c r="H46" s="10">
        <v>1288</v>
      </c>
      <c r="I46" s="10"/>
      <c r="J46" s="10"/>
      <c r="K46" s="10"/>
      <c r="L46" s="10">
        <v>2477</v>
      </c>
      <c r="M46" s="10"/>
      <c r="N46" s="10"/>
      <c r="O46" s="10"/>
      <c r="P46" s="10">
        <v>3788</v>
      </c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</row>
    <row r="47" spans="1:38" ht="15" customHeight="1" x14ac:dyDescent="0.35">
      <c r="A47" s="9" t="s">
        <v>211</v>
      </c>
      <c r="B47" s="10" t="s">
        <v>212</v>
      </c>
      <c r="C47" s="10" t="s">
        <v>213</v>
      </c>
      <c r="D47" s="10"/>
      <c r="E47" s="10"/>
      <c r="F47" s="10"/>
      <c r="G47" s="10">
        <v>1467</v>
      </c>
      <c r="H47" s="10">
        <v>1299</v>
      </c>
      <c r="I47" s="10"/>
      <c r="J47" s="10"/>
      <c r="K47" s="10"/>
      <c r="L47" s="10">
        <v>2488</v>
      </c>
      <c r="M47" s="10"/>
      <c r="N47" s="10"/>
      <c r="O47" s="10"/>
      <c r="P47" s="10">
        <v>3799</v>
      </c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</row>
    <row r="48" spans="1:38" ht="15" customHeight="1" x14ac:dyDescent="0.35">
      <c r="A48" s="9" t="s">
        <v>214</v>
      </c>
      <c r="B48" s="10" t="s">
        <v>215</v>
      </c>
      <c r="C48" s="10" t="s">
        <v>102</v>
      </c>
      <c r="D48" s="10"/>
      <c r="E48" s="10"/>
      <c r="F48" s="10"/>
      <c r="G48" s="10">
        <v>1468</v>
      </c>
      <c r="H48" s="10">
        <v>1334</v>
      </c>
      <c r="I48" s="10"/>
      <c r="J48" s="10"/>
      <c r="K48" s="10"/>
      <c r="L48" s="10">
        <v>2499</v>
      </c>
      <c r="M48" s="10"/>
      <c r="N48" s="10"/>
      <c r="O48" s="10"/>
      <c r="P48" s="10">
        <v>3889</v>
      </c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</row>
    <row r="49" spans="1:30" ht="15" customHeight="1" x14ac:dyDescent="0.35">
      <c r="A49" s="9" t="s">
        <v>216</v>
      </c>
      <c r="B49" s="10" t="s">
        <v>217</v>
      </c>
      <c r="C49" s="10" t="s">
        <v>218</v>
      </c>
      <c r="D49" s="10"/>
      <c r="E49" s="10"/>
      <c r="F49" s="10"/>
      <c r="G49" s="10">
        <v>1469</v>
      </c>
      <c r="H49" s="10">
        <v>1335</v>
      </c>
      <c r="I49" s="10"/>
      <c r="J49" s="10"/>
      <c r="K49" s="10"/>
      <c r="L49" s="10">
        <v>2556</v>
      </c>
      <c r="M49" s="10"/>
      <c r="N49" s="10"/>
      <c r="O49" s="10"/>
      <c r="P49" s="10">
        <v>3899</v>
      </c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</row>
    <row r="50" spans="1:30" ht="15" customHeight="1" x14ac:dyDescent="0.35">
      <c r="A50" s="9" t="s">
        <v>219</v>
      </c>
      <c r="B50" s="10" t="s">
        <v>96</v>
      </c>
      <c r="C50" s="10" t="s">
        <v>220</v>
      </c>
      <c r="D50" s="10"/>
      <c r="E50" s="10"/>
      <c r="F50" s="10"/>
      <c r="G50" s="10">
        <v>1478</v>
      </c>
      <c r="H50" s="10">
        <v>1336</v>
      </c>
      <c r="I50" s="10"/>
      <c r="J50" s="10"/>
      <c r="K50" s="10"/>
      <c r="L50" s="10">
        <v>2557</v>
      </c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</row>
    <row r="51" spans="1:30" ht="15" customHeight="1" x14ac:dyDescent="0.35">
      <c r="A51" s="9" t="s">
        <v>221</v>
      </c>
      <c r="B51" s="10" t="s">
        <v>222</v>
      </c>
      <c r="C51" s="10" t="s">
        <v>223</v>
      </c>
      <c r="D51" s="10"/>
      <c r="E51" s="10"/>
      <c r="F51" s="10"/>
      <c r="G51" s="10">
        <v>1479</v>
      </c>
      <c r="H51" s="10">
        <v>1337</v>
      </c>
      <c r="I51" s="10"/>
      <c r="J51" s="10"/>
      <c r="K51" s="10"/>
      <c r="L51" s="10">
        <v>2558</v>
      </c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</row>
    <row r="52" spans="1:30" ht="15" customHeight="1" x14ac:dyDescent="0.35">
      <c r="A52" s="9" t="s">
        <v>224</v>
      </c>
      <c r="B52" s="10" t="s">
        <v>225</v>
      </c>
      <c r="C52" s="10" t="s">
        <v>109</v>
      </c>
      <c r="D52" s="10"/>
      <c r="E52" s="10"/>
      <c r="F52" s="10"/>
      <c r="G52" s="10">
        <v>1489</v>
      </c>
      <c r="H52" s="10">
        <v>1338</v>
      </c>
      <c r="I52" s="10"/>
      <c r="J52" s="10"/>
      <c r="K52" s="10"/>
      <c r="L52" s="10">
        <v>2559</v>
      </c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</row>
    <row r="53" spans="1:30" ht="15" customHeight="1" x14ac:dyDescent="0.35">
      <c r="A53" s="9" t="s">
        <v>226</v>
      </c>
      <c r="B53" s="10" t="s">
        <v>227</v>
      </c>
      <c r="C53" s="10" t="s">
        <v>228</v>
      </c>
      <c r="D53" s="10"/>
      <c r="E53" s="10"/>
      <c r="F53" s="10"/>
      <c r="G53" s="10">
        <v>1567</v>
      </c>
      <c r="H53" s="10">
        <v>1339</v>
      </c>
      <c r="I53" s="10"/>
      <c r="J53" s="10"/>
      <c r="K53" s="10"/>
      <c r="L53" s="10">
        <v>2566</v>
      </c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</row>
    <row r="54" spans="1:30" ht="15" customHeight="1" x14ac:dyDescent="0.35">
      <c r="A54" s="9" t="s">
        <v>229</v>
      </c>
      <c r="B54" s="10" t="s">
        <v>230</v>
      </c>
      <c r="C54" s="10" t="s">
        <v>231</v>
      </c>
      <c r="D54" s="10"/>
      <c r="E54" s="10"/>
      <c r="F54" s="10"/>
      <c r="G54" s="10">
        <v>1568</v>
      </c>
      <c r="H54" s="10">
        <v>1344</v>
      </c>
      <c r="I54" s="10"/>
      <c r="J54" s="10"/>
      <c r="K54" s="10"/>
      <c r="L54" s="10">
        <v>2577</v>
      </c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</row>
    <row r="55" spans="1:30" ht="15" customHeight="1" x14ac:dyDescent="0.35">
      <c r="A55" s="9" t="s">
        <v>232</v>
      </c>
      <c r="B55" s="10" t="s">
        <v>233</v>
      </c>
      <c r="C55" s="10" t="s">
        <v>113</v>
      </c>
      <c r="D55" s="10"/>
      <c r="E55" s="10"/>
      <c r="F55" s="10"/>
      <c r="G55" s="10">
        <v>1569</v>
      </c>
      <c r="H55" s="10">
        <v>1355</v>
      </c>
      <c r="I55" s="10"/>
      <c r="J55" s="10"/>
      <c r="K55" s="10"/>
      <c r="L55" s="10">
        <v>2588</v>
      </c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</row>
    <row r="56" spans="1:30" ht="15" customHeight="1" x14ac:dyDescent="0.35">
      <c r="A56" s="9" t="s">
        <v>234</v>
      </c>
      <c r="B56" s="10" t="s">
        <v>235</v>
      </c>
      <c r="C56" s="10" t="s">
        <v>236</v>
      </c>
      <c r="D56" s="10"/>
      <c r="E56" s="10"/>
      <c r="F56" s="10"/>
      <c r="G56" s="10">
        <v>1577</v>
      </c>
      <c r="H56" s="10">
        <v>1377</v>
      </c>
      <c r="I56" s="10"/>
      <c r="J56" s="10"/>
      <c r="K56" s="10"/>
      <c r="L56" s="10">
        <v>2599</v>
      </c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</row>
    <row r="57" spans="1:30" ht="15" customHeight="1" x14ac:dyDescent="0.35">
      <c r="A57" s="9" t="s">
        <v>237</v>
      </c>
      <c r="B57" s="10" t="s">
        <v>238</v>
      </c>
      <c r="C57" s="10" t="s">
        <v>239</v>
      </c>
      <c r="D57" s="10"/>
      <c r="E57" s="10"/>
      <c r="F57" s="10"/>
      <c r="G57" s="10">
        <v>1578</v>
      </c>
      <c r="H57" s="10">
        <v>1388</v>
      </c>
      <c r="I57" s="10"/>
      <c r="J57" s="10"/>
      <c r="K57" s="10"/>
      <c r="L57" s="10">
        <v>2667</v>
      </c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</row>
    <row r="58" spans="1:30" ht="15" customHeight="1" x14ac:dyDescent="0.35">
      <c r="A58" s="9" t="s">
        <v>240</v>
      </c>
      <c r="B58" s="10" t="s">
        <v>241</v>
      </c>
      <c r="C58" s="10" t="s">
        <v>242</v>
      </c>
      <c r="D58" s="10"/>
      <c r="E58" s="10"/>
      <c r="F58" s="10"/>
      <c r="G58" s="10">
        <v>1579</v>
      </c>
      <c r="H58" s="10">
        <v>1399</v>
      </c>
      <c r="I58" s="10"/>
      <c r="J58" s="10"/>
      <c r="K58" s="10"/>
      <c r="L58" s="10">
        <v>2668</v>
      </c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</row>
    <row r="59" spans="1:30" ht="15" customHeight="1" x14ac:dyDescent="0.35">
      <c r="A59" s="9" t="s">
        <v>243</v>
      </c>
      <c r="B59" s="10" t="s">
        <v>244</v>
      </c>
      <c r="C59" s="10" t="s">
        <v>245</v>
      </c>
      <c r="D59" s="10"/>
      <c r="E59" s="10"/>
      <c r="F59" s="10"/>
      <c r="G59" s="10">
        <v>1589</v>
      </c>
      <c r="H59" s="10">
        <v>1445</v>
      </c>
      <c r="I59" s="10"/>
      <c r="J59" s="10"/>
      <c r="K59" s="10"/>
      <c r="L59" s="10">
        <v>2669</v>
      </c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</row>
    <row r="60" spans="1:30" ht="15" customHeight="1" x14ac:dyDescent="0.35">
      <c r="A60" s="9" t="s">
        <v>246</v>
      </c>
      <c r="B60" s="10" t="s">
        <v>247</v>
      </c>
      <c r="C60" s="10" t="s">
        <v>248</v>
      </c>
      <c r="D60" s="10"/>
      <c r="E60" s="10"/>
      <c r="F60" s="10"/>
      <c r="G60" s="10">
        <v>1678</v>
      </c>
      <c r="H60" s="10">
        <v>1446</v>
      </c>
      <c r="I60" s="10"/>
      <c r="J60" s="10"/>
      <c r="K60" s="10"/>
      <c r="L60" s="10">
        <v>2677</v>
      </c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</row>
    <row r="61" spans="1:30" ht="15" customHeight="1" x14ac:dyDescent="0.35">
      <c r="A61" s="9" t="s">
        <v>249</v>
      </c>
      <c r="B61" s="10" t="s">
        <v>250</v>
      </c>
      <c r="C61" s="10" t="s">
        <v>251</v>
      </c>
      <c r="D61" s="10"/>
      <c r="E61" s="10"/>
      <c r="F61" s="10"/>
      <c r="G61" s="10">
        <v>1679</v>
      </c>
      <c r="H61" s="10">
        <v>1447</v>
      </c>
      <c r="I61" s="10"/>
      <c r="J61" s="10"/>
      <c r="K61" s="10"/>
      <c r="L61" s="10">
        <v>2688</v>
      </c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</row>
    <row r="62" spans="1:30" ht="15" customHeight="1" x14ac:dyDescent="0.35">
      <c r="A62" s="9" t="s">
        <v>252</v>
      </c>
      <c r="B62" s="10" t="s">
        <v>253</v>
      </c>
      <c r="C62" s="10" t="s">
        <v>254</v>
      </c>
      <c r="D62" s="10"/>
      <c r="E62" s="10"/>
      <c r="F62" s="10"/>
      <c r="G62" s="10">
        <v>1689</v>
      </c>
      <c r="H62" s="10">
        <v>1448</v>
      </c>
      <c r="I62" s="10"/>
      <c r="J62" s="10"/>
      <c r="K62" s="10"/>
      <c r="L62" s="10">
        <v>2699</v>
      </c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</row>
    <row r="63" spans="1:30" ht="15" customHeight="1" x14ac:dyDescent="0.35">
      <c r="A63" s="9" t="s">
        <v>255</v>
      </c>
      <c r="B63" s="10" t="s">
        <v>256</v>
      </c>
      <c r="C63" s="10" t="s">
        <v>257</v>
      </c>
      <c r="D63" s="10"/>
      <c r="E63" s="10"/>
      <c r="F63" s="10"/>
      <c r="G63" s="10">
        <v>1789</v>
      </c>
      <c r="H63" s="10">
        <v>1449</v>
      </c>
      <c r="I63" s="10"/>
      <c r="J63" s="10"/>
      <c r="K63" s="10"/>
      <c r="L63" s="10">
        <v>2778</v>
      </c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</row>
    <row r="64" spans="1:30" ht="15" customHeight="1" x14ac:dyDescent="0.35">
      <c r="A64" s="9" t="s">
        <v>258</v>
      </c>
      <c r="B64" s="10" t="s">
        <v>64</v>
      </c>
      <c r="C64" s="10" t="s">
        <v>259</v>
      </c>
      <c r="D64" s="10"/>
      <c r="E64" s="10"/>
      <c r="F64" s="10"/>
      <c r="G64" s="10"/>
      <c r="H64" s="10">
        <v>1455</v>
      </c>
      <c r="I64" s="10"/>
      <c r="J64" s="10"/>
      <c r="K64" s="10"/>
      <c r="L64" s="10">
        <v>2779</v>
      </c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</row>
    <row r="65" spans="1:30" ht="15" customHeight="1" x14ac:dyDescent="0.35">
      <c r="A65" s="9" t="s">
        <v>260</v>
      </c>
      <c r="B65" s="10" t="s">
        <v>261</v>
      </c>
      <c r="C65" s="10" t="s">
        <v>262</v>
      </c>
      <c r="D65" s="10"/>
      <c r="E65" s="10"/>
      <c r="F65" s="10"/>
      <c r="G65" s="10"/>
      <c r="H65" s="10">
        <v>1466</v>
      </c>
      <c r="I65" s="10"/>
      <c r="J65" s="10"/>
      <c r="K65" s="10"/>
      <c r="L65" s="10">
        <v>2788</v>
      </c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</row>
    <row r="66" spans="1:30" ht="15" customHeight="1" x14ac:dyDescent="0.35">
      <c r="A66" s="9" t="s">
        <v>263</v>
      </c>
      <c r="B66" s="10" t="s">
        <v>264</v>
      </c>
      <c r="C66" s="10" t="s">
        <v>265</v>
      </c>
      <c r="D66" s="10"/>
      <c r="E66" s="10"/>
      <c r="F66" s="10"/>
      <c r="G66" s="10"/>
      <c r="H66" s="10">
        <v>1477</v>
      </c>
      <c r="I66" s="10"/>
      <c r="J66" s="10"/>
      <c r="K66" s="10"/>
      <c r="L66" s="10">
        <v>2799</v>
      </c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</row>
    <row r="67" spans="1:30" ht="15" customHeight="1" x14ac:dyDescent="0.35">
      <c r="A67" s="9" t="s">
        <v>266</v>
      </c>
      <c r="B67" s="10" t="s">
        <v>267</v>
      </c>
      <c r="C67" s="10" t="s">
        <v>268</v>
      </c>
      <c r="D67" s="10"/>
      <c r="E67" s="10"/>
      <c r="F67" s="10"/>
      <c r="G67" s="10"/>
      <c r="H67" s="10">
        <v>1488</v>
      </c>
      <c r="I67" s="10"/>
      <c r="J67" s="10"/>
      <c r="K67" s="10"/>
      <c r="L67" s="10">
        <v>2889</v>
      </c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</row>
    <row r="68" spans="1:30" ht="15" customHeight="1" x14ac:dyDescent="0.35">
      <c r="A68" s="9" t="s">
        <v>269</v>
      </c>
      <c r="B68" s="10" t="s">
        <v>270</v>
      </c>
      <c r="C68" s="10" t="s">
        <v>271</v>
      </c>
      <c r="D68" s="10"/>
      <c r="E68" s="10"/>
      <c r="F68" s="10"/>
      <c r="G68" s="10"/>
      <c r="H68" s="10">
        <v>1499</v>
      </c>
      <c r="I68" s="10"/>
      <c r="J68" s="10"/>
      <c r="K68" s="10"/>
      <c r="L68" s="10">
        <v>2899</v>
      </c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</row>
    <row r="69" spans="1:30" ht="15" customHeight="1" x14ac:dyDescent="0.35">
      <c r="A69" s="9" t="s">
        <v>272</v>
      </c>
      <c r="B69" s="10" t="s">
        <v>273</v>
      </c>
      <c r="C69" s="10" t="s">
        <v>274</v>
      </c>
      <c r="D69" s="10"/>
      <c r="E69" s="10"/>
      <c r="F69" s="10"/>
      <c r="G69" s="10"/>
      <c r="H69" s="10">
        <v>1556</v>
      </c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</row>
    <row r="70" spans="1:30" ht="15" customHeight="1" x14ac:dyDescent="0.35">
      <c r="A70" s="9" t="s">
        <v>275</v>
      </c>
      <c r="B70" s="10" t="s">
        <v>276</v>
      </c>
      <c r="C70" s="10" t="s">
        <v>277</v>
      </c>
      <c r="D70" s="10"/>
      <c r="E70" s="10"/>
      <c r="F70" s="10"/>
      <c r="G70" s="10"/>
      <c r="H70" s="10">
        <v>1557</v>
      </c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</row>
    <row r="71" spans="1:30" ht="15" customHeight="1" x14ac:dyDescent="0.35">
      <c r="A71" s="9" t="s">
        <v>278</v>
      </c>
      <c r="B71" s="10" t="s">
        <v>279</v>
      </c>
      <c r="C71" s="10" t="s">
        <v>280</v>
      </c>
      <c r="D71" s="10"/>
      <c r="E71" s="10"/>
      <c r="F71" s="10"/>
      <c r="G71" s="10"/>
      <c r="H71" s="10">
        <v>1558</v>
      </c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</row>
    <row r="72" spans="1:30" ht="15" customHeight="1" x14ac:dyDescent="0.35">
      <c r="A72" s="9" t="s">
        <v>281</v>
      </c>
      <c r="B72" s="10" t="s">
        <v>282</v>
      </c>
      <c r="C72" s="10" t="s">
        <v>283</v>
      </c>
      <c r="D72" s="10"/>
      <c r="E72" s="10"/>
      <c r="F72" s="10"/>
      <c r="G72" s="10"/>
      <c r="H72" s="10">
        <v>1559</v>
      </c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</row>
    <row r="73" spans="1:30" ht="15" customHeight="1" x14ac:dyDescent="0.35">
      <c r="A73" s="9" t="s">
        <v>284</v>
      </c>
      <c r="B73" s="10" t="s">
        <v>71</v>
      </c>
      <c r="C73" s="10" t="s">
        <v>149</v>
      </c>
      <c r="D73" s="10"/>
      <c r="E73" s="10"/>
      <c r="F73" s="10"/>
      <c r="G73" s="10"/>
      <c r="H73" s="10">
        <v>1566</v>
      </c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</row>
    <row r="74" spans="1:30" ht="15" customHeight="1" x14ac:dyDescent="0.35">
      <c r="A74" s="9" t="s">
        <v>285</v>
      </c>
      <c r="B74" s="10" t="s">
        <v>286</v>
      </c>
      <c r="C74" s="10" t="s">
        <v>287</v>
      </c>
      <c r="D74" s="10"/>
      <c r="E74" s="10"/>
      <c r="F74" s="10"/>
      <c r="G74" s="10"/>
      <c r="H74" s="10">
        <v>1588</v>
      </c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</row>
    <row r="75" spans="1:30" ht="15" customHeight="1" x14ac:dyDescent="0.35">
      <c r="A75" s="9" t="s">
        <v>288</v>
      </c>
      <c r="B75" s="10" t="s">
        <v>289</v>
      </c>
      <c r="C75" s="10" t="s">
        <v>290</v>
      </c>
      <c r="D75" s="10"/>
      <c r="E75" s="10"/>
      <c r="F75" s="10"/>
      <c r="G75" s="10"/>
      <c r="H75" s="10">
        <v>1599</v>
      </c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</row>
    <row r="76" spans="1:30" ht="15" customHeight="1" x14ac:dyDescent="0.35">
      <c r="A76" s="9" t="s">
        <v>291</v>
      </c>
      <c r="B76" s="10" t="s">
        <v>292</v>
      </c>
      <c r="C76" s="10" t="s">
        <v>293</v>
      </c>
      <c r="D76" s="10"/>
      <c r="E76" s="10"/>
      <c r="F76" s="10"/>
      <c r="G76" s="10"/>
      <c r="H76" s="10">
        <v>1667</v>
      </c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</row>
    <row r="77" spans="1:30" ht="15" customHeight="1" x14ac:dyDescent="0.35">
      <c r="A77" s="9" t="s">
        <v>294</v>
      </c>
      <c r="B77" s="10" t="s">
        <v>295</v>
      </c>
      <c r="C77" s="10" t="s">
        <v>296</v>
      </c>
      <c r="D77" s="10"/>
      <c r="E77" s="10"/>
      <c r="F77" s="10"/>
      <c r="G77" s="10"/>
      <c r="H77" s="10">
        <v>1668</v>
      </c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</row>
    <row r="78" spans="1:30" ht="15" customHeight="1" x14ac:dyDescent="0.35">
      <c r="A78" s="9" t="s">
        <v>297</v>
      </c>
      <c r="B78" s="10" t="s">
        <v>298</v>
      </c>
      <c r="C78" s="10" t="s">
        <v>299</v>
      </c>
      <c r="D78" s="10"/>
      <c r="E78" s="10"/>
      <c r="F78" s="10"/>
      <c r="G78" s="10"/>
      <c r="H78" s="10">
        <v>1669</v>
      </c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</row>
    <row r="79" spans="1:30" ht="15" customHeight="1" x14ac:dyDescent="0.35">
      <c r="A79" s="9" t="s">
        <v>300</v>
      </c>
      <c r="B79" s="10" t="s">
        <v>301</v>
      </c>
      <c r="C79" s="10" t="s">
        <v>302</v>
      </c>
      <c r="D79" s="10"/>
      <c r="E79" s="10"/>
      <c r="F79" s="10"/>
      <c r="G79" s="10"/>
      <c r="H79" s="10">
        <v>1677</v>
      </c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</row>
    <row r="80" spans="1:30" ht="15" customHeight="1" x14ac:dyDescent="0.35">
      <c r="A80" s="9" t="s">
        <v>303</v>
      </c>
      <c r="B80" s="10" t="s">
        <v>304</v>
      </c>
      <c r="C80" s="10" t="s">
        <v>305</v>
      </c>
      <c r="D80" s="10"/>
      <c r="E80" s="10"/>
      <c r="F80" s="10"/>
      <c r="G80" s="10"/>
      <c r="H80" s="10">
        <v>1688</v>
      </c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</row>
    <row r="81" spans="1:30" ht="15" customHeight="1" x14ac:dyDescent="0.35">
      <c r="A81" s="9" t="s">
        <v>306</v>
      </c>
      <c r="B81" s="10" t="s">
        <v>307</v>
      </c>
      <c r="C81" s="10" t="s">
        <v>308</v>
      </c>
      <c r="D81" s="10"/>
      <c r="E81" s="10"/>
      <c r="F81" s="10"/>
      <c r="G81" s="10"/>
      <c r="H81" s="10">
        <v>1699</v>
      </c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</row>
    <row r="82" spans="1:30" ht="15" customHeight="1" x14ac:dyDescent="0.35">
      <c r="A82" s="9" t="s">
        <v>309</v>
      </c>
      <c r="B82" s="10" t="s">
        <v>310</v>
      </c>
      <c r="C82" s="10" t="s">
        <v>311</v>
      </c>
      <c r="D82" s="10"/>
      <c r="E82" s="10"/>
      <c r="F82" s="10"/>
      <c r="G82" s="10"/>
      <c r="H82" s="10">
        <v>1778</v>
      </c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</row>
    <row r="83" spans="1:30" ht="15" customHeight="1" x14ac:dyDescent="0.35">
      <c r="A83" s="9" t="s">
        <v>312</v>
      </c>
      <c r="B83" s="10" t="s">
        <v>313</v>
      </c>
      <c r="C83" s="10" t="s">
        <v>314</v>
      </c>
      <c r="D83" s="10"/>
      <c r="E83" s="10"/>
      <c r="F83" s="10"/>
      <c r="G83" s="10"/>
      <c r="H83" s="10">
        <v>1779</v>
      </c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</row>
    <row r="84" spans="1:30" ht="15" customHeight="1" x14ac:dyDescent="0.35">
      <c r="A84" s="9" t="s">
        <v>315</v>
      </c>
      <c r="B84" s="10" t="s">
        <v>135</v>
      </c>
      <c r="C84" s="10" t="s">
        <v>316</v>
      </c>
      <c r="D84" s="10"/>
      <c r="E84" s="10"/>
      <c r="F84" s="10"/>
      <c r="G84" s="10"/>
      <c r="H84" s="10">
        <v>1788</v>
      </c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</row>
    <row r="85" spans="1:30" ht="15" customHeight="1" x14ac:dyDescent="0.35">
      <c r="A85" s="9" t="s">
        <v>317</v>
      </c>
      <c r="B85" s="10" t="s">
        <v>318</v>
      </c>
      <c r="C85" s="10" t="s">
        <v>319</v>
      </c>
      <c r="D85" s="10"/>
      <c r="E85" s="10"/>
      <c r="F85" s="10"/>
      <c r="G85" s="10"/>
      <c r="H85" s="10">
        <v>1799</v>
      </c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</row>
    <row r="86" spans="1:30" ht="15" customHeight="1" x14ac:dyDescent="0.35">
      <c r="A86" s="9" t="s">
        <v>320</v>
      </c>
      <c r="B86" s="10" t="s">
        <v>321</v>
      </c>
      <c r="C86" s="10" t="s">
        <v>322</v>
      </c>
      <c r="D86" s="10"/>
      <c r="E86" s="10"/>
      <c r="F86" s="10"/>
      <c r="G86" s="10"/>
      <c r="H86" s="10">
        <v>1889</v>
      </c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</row>
    <row r="87" spans="1:30" ht="15" customHeight="1" x14ac:dyDescent="0.35">
      <c r="A87" s="9" t="s">
        <v>323</v>
      </c>
      <c r="B87" s="10" t="s">
        <v>324</v>
      </c>
      <c r="C87" s="10" t="s">
        <v>325</v>
      </c>
      <c r="D87" s="10"/>
      <c r="E87" s="10"/>
      <c r="F87" s="10"/>
      <c r="G87" s="10"/>
      <c r="H87" s="10">
        <v>1899</v>
      </c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</row>
    <row r="88" spans="1:30" ht="15" customHeight="1" x14ac:dyDescent="0.35">
      <c r="A88" s="9" t="s">
        <v>326</v>
      </c>
      <c r="B88" s="10" t="s">
        <v>327</v>
      </c>
      <c r="C88" s="10" t="s">
        <v>97</v>
      </c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</row>
    <row r="89" spans="1:30" ht="15" customHeight="1" x14ac:dyDescent="0.35">
      <c r="A89" s="9" t="s">
        <v>328</v>
      </c>
      <c r="B89" s="10" t="s">
        <v>329</v>
      </c>
      <c r="C89" s="10" t="s">
        <v>330</v>
      </c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</row>
    <row r="90" spans="1:30" ht="15" customHeight="1" x14ac:dyDescent="0.35">
      <c r="A90" s="9" t="s">
        <v>331</v>
      </c>
      <c r="B90" s="10"/>
      <c r="C90" s="10" t="s">
        <v>332</v>
      </c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</row>
    <row r="91" spans="1:30" ht="15" customHeight="1" x14ac:dyDescent="0.35">
      <c r="A91" s="9" t="s">
        <v>333</v>
      </c>
      <c r="B91" s="10"/>
      <c r="C91" s="10" t="s">
        <v>334</v>
      </c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</row>
    <row r="92" spans="1:30" ht="15" customHeight="1" x14ac:dyDescent="0.35">
      <c r="A92" s="9" t="s">
        <v>335</v>
      </c>
      <c r="B92" s="10"/>
      <c r="C92" s="10" t="s">
        <v>336</v>
      </c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</row>
    <row r="93" spans="1:30" ht="15" customHeight="1" x14ac:dyDescent="0.35">
      <c r="A93" s="9" t="s">
        <v>337</v>
      </c>
      <c r="B93" s="10"/>
      <c r="C93" s="10" t="s">
        <v>338</v>
      </c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</row>
    <row r="94" spans="1:30" ht="15" customHeight="1" x14ac:dyDescent="0.35">
      <c r="A94" s="9" t="s">
        <v>339</v>
      </c>
      <c r="B94" s="10"/>
      <c r="C94" s="10" t="s">
        <v>340</v>
      </c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</row>
    <row r="95" spans="1:30" ht="15" customHeight="1" x14ac:dyDescent="0.35">
      <c r="A95" s="9" t="s">
        <v>341</v>
      </c>
      <c r="B95" s="10"/>
      <c r="C95" s="10" t="s">
        <v>342</v>
      </c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</row>
    <row r="96" spans="1:30" ht="15" customHeight="1" x14ac:dyDescent="0.35">
      <c r="A96" s="9" t="s">
        <v>343</v>
      </c>
      <c r="B96" s="10"/>
      <c r="C96" s="10" t="s">
        <v>344</v>
      </c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</row>
    <row r="97" spans="1:30" ht="15" customHeight="1" x14ac:dyDescent="0.35">
      <c r="A97" s="9" t="s">
        <v>345</v>
      </c>
      <c r="B97" s="10"/>
      <c r="C97" s="10" t="s">
        <v>346</v>
      </c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</row>
    <row r="98" spans="1:30" ht="15" customHeight="1" x14ac:dyDescent="0.35">
      <c r="A98" s="9" t="s">
        <v>347</v>
      </c>
      <c r="B98" s="10"/>
      <c r="C98" s="10" t="s">
        <v>348</v>
      </c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</row>
    <row r="99" spans="1:30" ht="15" customHeight="1" x14ac:dyDescent="0.35">
      <c r="A99" s="9" t="s">
        <v>349</v>
      </c>
      <c r="B99" s="10"/>
      <c r="C99" s="10" t="s">
        <v>350</v>
      </c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</row>
    <row r="100" spans="1:30" ht="15" customHeight="1" x14ac:dyDescent="0.35">
      <c r="A100" s="9" t="s">
        <v>351</v>
      </c>
      <c r="B100" s="10"/>
      <c r="C100" s="10" t="s">
        <v>352</v>
      </c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</row>
    <row r="101" spans="1:30" ht="15" customHeight="1" x14ac:dyDescent="0.35">
      <c r="A101" s="9" t="s">
        <v>353</v>
      </c>
      <c r="B101" s="10"/>
      <c r="C101" s="10" t="s">
        <v>354</v>
      </c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</row>
    <row r="102" spans="1:30" ht="15" customHeight="1" x14ac:dyDescent="0.35">
      <c r="A102" s="9" t="s">
        <v>355</v>
      </c>
      <c r="B102" s="10"/>
      <c r="C102" s="10" t="s">
        <v>356</v>
      </c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</row>
    <row r="103" spans="1:30" ht="15" customHeight="1" x14ac:dyDescent="0.35">
      <c r="A103" s="9" t="s">
        <v>357</v>
      </c>
      <c r="B103" s="10"/>
      <c r="C103" s="10" t="s">
        <v>358</v>
      </c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</row>
    <row r="104" spans="1:30" ht="15" customHeight="1" x14ac:dyDescent="0.35">
      <c r="A104" s="9" t="s">
        <v>359</v>
      </c>
      <c r="B104" s="10"/>
      <c r="C104" s="10" t="s">
        <v>360</v>
      </c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</row>
    <row r="105" spans="1:30" ht="15" customHeight="1" x14ac:dyDescent="0.35">
      <c r="A105" s="9" t="s">
        <v>361</v>
      </c>
      <c r="B105" s="10"/>
      <c r="C105" s="10" t="s">
        <v>362</v>
      </c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</row>
    <row r="106" spans="1:30" ht="15" customHeight="1" x14ac:dyDescent="0.35">
      <c r="A106" s="9" t="s">
        <v>363</v>
      </c>
      <c r="B106" s="10"/>
      <c r="C106" s="10" t="s">
        <v>364</v>
      </c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</row>
    <row r="107" spans="1:30" ht="15" customHeight="1" x14ac:dyDescent="0.35">
      <c r="A107" s="9" t="s">
        <v>365</v>
      </c>
      <c r="B107" s="10"/>
      <c r="C107" s="10" t="s">
        <v>366</v>
      </c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</row>
    <row r="108" spans="1:30" ht="15" customHeight="1" x14ac:dyDescent="0.35">
      <c r="A108" s="9" t="s">
        <v>367</v>
      </c>
      <c r="B108" s="10"/>
      <c r="C108" s="10" t="s">
        <v>368</v>
      </c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</row>
    <row r="109" spans="1:30" ht="15" customHeight="1" x14ac:dyDescent="0.35">
      <c r="A109" s="9" t="s">
        <v>369</v>
      </c>
      <c r="B109" s="10"/>
      <c r="C109" s="10" t="s">
        <v>370</v>
      </c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</row>
    <row r="110" spans="1:30" ht="15" customHeight="1" x14ac:dyDescent="0.35">
      <c r="A110" s="9" t="s">
        <v>371</v>
      </c>
      <c r="B110" s="10"/>
      <c r="C110" s="10" t="s">
        <v>372</v>
      </c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</row>
    <row r="111" spans="1:30" ht="15" customHeight="1" x14ac:dyDescent="0.35">
      <c r="A111" s="9" t="s">
        <v>373</v>
      </c>
      <c r="B111" s="10"/>
      <c r="C111" s="10" t="s">
        <v>374</v>
      </c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</row>
    <row r="112" spans="1:30" ht="15" customHeight="1" x14ac:dyDescent="0.35">
      <c r="A112" s="9" t="s">
        <v>375</v>
      </c>
      <c r="B112" s="10"/>
      <c r="C112" s="10" t="s">
        <v>376</v>
      </c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</row>
    <row r="113" spans="1:30" ht="15" customHeight="1" x14ac:dyDescent="0.35">
      <c r="A113" s="9" t="s">
        <v>377</v>
      </c>
      <c r="B113" s="10"/>
      <c r="C113" s="10" t="s">
        <v>378</v>
      </c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</row>
  </sheetData>
  <mergeCells count="7">
    <mergeCell ref="B3:AD3"/>
    <mergeCell ref="AI9:AI18"/>
    <mergeCell ref="AH9:AH18"/>
    <mergeCell ref="AH19:AH28"/>
    <mergeCell ref="AI6:AI8"/>
    <mergeCell ref="AH6:AH8"/>
    <mergeCell ref="AI19:AI28"/>
  </mergeCells>
  <conditionalFormatting sqref="B6:AD113 AJ6:AL28">
    <cfRule type="duplicateValues" dxfId="93" priority="10"/>
  </conditionalFormatting>
  <conditionalFormatting sqref="B6:AD113 AM6:AM28">
    <cfRule type="duplicateValues" dxfId="92" priority="8"/>
  </conditionalFormatting>
  <conditionalFormatting sqref="B6:AD113 AN6:AN28">
    <cfRule type="duplicateValues" dxfId="91" priority="7"/>
  </conditionalFormatting>
  <conditionalFormatting sqref="B6:AD113 AO6:AO28">
    <cfRule type="duplicateValues" dxfId="90" priority="5"/>
  </conditionalFormatting>
  <conditionalFormatting sqref="B6:AD113">
    <cfRule type="duplicateValues" dxfId="89" priority="11"/>
  </conditionalFormatting>
  <conditionalFormatting sqref="AM6:AN28">
    <cfRule type="duplicateValues" dxfId="88" priority="9"/>
  </conditionalFormatting>
  <conditionalFormatting sqref="AQ6:AX28">
    <cfRule type="duplicateValues" dxfId="87" priority="1"/>
    <cfRule type="duplicateValues" dxfId="86" priority="2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DC97A-F3FB-42BF-B268-AF7C6797DFAA}">
  <dimension ref="A2:AP113"/>
  <sheetViews>
    <sheetView zoomScaleNormal="100" workbookViewId="0">
      <selection activeCell="AQ55" sqref="AQ55"/>
    </sheetView>
  </sheetViews>
  <sheetFormatPr defaultColWidth="8.453125" defaultRowHeight="14.5" x14ac:dyDescent="0.35"/>
  <cols>
    <col min="1" max="1" width="4.1796875" style="1" customWidth="1"/>
    <col min="2" max="4" width="4.54296875" style="1" customWidth="1"/>
    <col min="5" max="5" width="4.81640625" style="1" customWidth="1"/>
    <col min="6" max="6" width="5.1796875" style="1" customWidth="1"/>
    <col min="7" max="8" width="4.54296875" style="1" customWidth="1"/>
    <col min="9" max="9" width="4.453125" style="1" customWidth="1"/>
    <col min="10" max="12" width="4.54296875" style="1" customWidth="1"/>
    <col min="13" max="13" width="4.453125" style="1" customWidth="1"/>
    <col min="14" max="16" width="4.54296875" style="1" customWidth="1"/>
    <col min="17" max="17" width="4.453125" style="1" customWidth="1"/>
    <col min="18" max="20" width="4.54296875" style="1" customWidth="1"/>
    <col min="21" max="21" width="4.453125" style="1" customWidth="1"/>
    <col min="22" max="24" width="4.54296875" style="1" customWidth="1"/>
    <col min="25" max="25" width="4.453125" style="1" customWidth="1"/>
    <col min="26" max="28" width="4.54296875" style="1" customWidth="1"/>
    <col min="29" max="29" width="4.453125" style="1" customWidth="1"/>
    <col min="30" max="30" width="4.54296875" style="1" customWidth="1"/>
    <col min="32" max="32" width="3.81640625" style="1" customWidth="1"/>
    <col min="33" max="33" width="8.7265625" style="1" customWidth="1"/>
    <col min="34" max="35" width="5.1796875" style="1" customWidth="1"/>
    <col min="36" max="38" width="5.1796875" style="2" customWidth="1"/>
    <col min="39" max="39" width="8.7265625" style="3" customWidth="1"/>
    <col min="42" max="42" width="4" customWidth="1"/>
  </cols>
  <sheetData>
    <row r="2" spans="1:42" ht="15.75" customHeight="1" thickBot="1" x14ac:dyDescent="0.4"/>
    <row r="3" spans="1:42" ht="15.75" customHeight="1" thickBot="1" x14ac:dyDescent="0.4">
      <c r="B3" s="130" t="s">
        <v>379</v>
      </c>
      <c r="C3" s="118"/>
      <c r="D3" s="118"/>
      <c r="E3" s="118"/>
      <c r="F3" s="118"/>
      <c r="G3" s="118"/>
      <c r="H3" s="118"/>
      <c r="I3" s="118"/>
      <c r="J3" s="118"/>
      <c r="K3" s="118"/>
      <c r="L3" s="118"/>
      <c r="M3" s="118"/>
      <c r="N3" s="118"/>
      <c r="O3" s="118"/>
      <c r="P3" s="118"/>
      <c r="Q3" s="118"/>
      <c r="R3" s="118"/>
      <c r="S3" s="118"/>
      <c r="T3" s="118"/>
      <c r="U3" s="118"/>
      <c r="V3" s="118"/>
      <c r="W3" s="118"/>
      <c r="X3" s="118"/>
      <c r="Y3" s="118"/>
      <c r="Z3" s="118"/>
      <c r="AA3" s="118"/>
      <c r="AB3" s="118"/>
      <c r="AC3" s="118"/>
      <c r="AD3" s="119"/>
    </row>
    <row r="4" spans="1:42" ht="15" customHeight="1" x14ac:dyDescent="0.35"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  <c r="M4" s="4" t="s">
        <v>13</v>
      </c>
      <c r="N4" s="4" t="s">
        <v>14</v>
      </c>
      <c r="O4" s="4" t="s">
        <v>15</v>
      </c>
      <c r="P4" s="4" t="s">
        <v>16</v>
      </c>
      <c r="Q4" s="4" t="s">
        <v>17</v>
      </c>
      <c r="R4" s="4" t="s">
        <v>18</v>
      </c>
      <c r="S4" s="4" t="s">
        <v>19</v>
      </c>
      <c r="T4" s="4" t="s">
        <v>20</v>
      </c>
      <c r="U4" s="4" t="s">
        <v>21</v>
      </c>
      <c r="V4" s="4" t="s">
        <v>22</v>
      </c>
      <c r="W4" s="4" t="s">
        <v>23</v>
      </c>
      <c r="X4" s="4" t="s">
        <v>24</v>
      </c>
      <c r="Y4" s="4" t="s">
        <v>25</v>
      </c>
      <c r="Z4" s="4" t="s">
        <v>26</v>
      </c>
      <c r="AA4" s="4" t="s">
        <v>27</v>
      </c>
      <c r="AB4" s="4" t="s">
        <v>28</v>
      </c>
      <c r="AC4" s="4" t="s">
        <v>29</v>
      </c>
      <c r="AD4" s="4" t="s">
        <v>30</v>
      </c>
    </row>
    <row r="5" spans="1:42" ht="28.5" customHeight="1" x14ac:dyDescent="0.35">
      <c r="A5" s="5"/>
      <c r="B5" s="6" t="s">
        <v>31</v>
      </c>
      <c r="C5" s="6" t="s">
        <v>32</v>
      </c>
      <c r="D5" s="7" t="s">
        <v>33</v>
      </c>
      <c r="E5" s="7" t="s">
        <v>34</v>
      </c>
      <c r="F5" s="7" t="s">
        <v>35</v>
      </c>
      <c r="G5" s="6" t="s">
        <v>31</v>
      </c>
      <c r="H5" s="6" t="s">
        <v>32</v>
      </c>
      <c r="I5" s="7" t="s">
        <v>33</v>
      </c>
      <c r="J5" s="7" t="s">
        <v>34</v>
      </c>
      <c r="K5" s="6" t="s">
        <v>31</v>
      </c>
      <c r="L5" s="6" t="s">
        <v>32</v>
      </c>
      <c r="M5" s="7" t="s">
        <v>33</v>
      </c>
      <c r="N5" s="7" t="s">
        <v>34</v>
      </c>
      <c r="O5" s="6" t="s">
        <v>31</v>
      </c>
      <c r="P5" s="6" t="s">
        <v>32</v>
      </c>
      <c r="Q5" s="7" t="s">
        <v>33</v>
      </c>
      <c r="R5" s="7" t="s">
        <v>34</v>
      </c>
      <c r="S5" s="6" t="s">
        <v>31</v>
      </c>
      <c r="T5" s="6" t="s">
        <v>32</v>
      </c>
      <c r="U5" s="7" t="s">
        <v>33</v>
      </c>
      <c r="V5" s="7" t="s">
        <v>34</v>
      </c>
      <c r="W5" s="6" t="s">
        <v>31</v>
      </c>
      <c r="X5" s="6" t="s">
        <v>32</v>
      </c>
      <c r="Y5" s="7" t="s">
        <v>33</v>
      </c>
      <c r="Z5" s="7" t="s">
        <v>34</v>
      </c>
      <c r="AA5" s="6" t="s">
        <v>31</v>
      </c>
      <c r="AB5" s="6" t="s">
        <v>32</v>
      </c>
      <c r="AC5" s="7" t="s">
        <v>33</v>
      </c>
      <c r="AD5" s="7" t="s">
        <v>34</v>
      </c>
      <c r="AJ5" s="18" t="s">
        <v>43</v>
      </c>
      <c r="AK5" s="18" t="s">
        <v>44</v>
      </c>
      <c r="AL5" s="18" t="s">
        <v>45</v>
      </c>
      <c r="AM5" s="8" t="s">
        <v>46</v>
      </c>
      <c r="AN5" s="24" t="s">
        <v>426</v>
      </c>
      <c r="AO5" s="8" t="s">
        <v>425</v>
      </c>
    </row>
    <row r="6" spans="1:42" ht="15" customHeight="1" x14ac:dyDescent="0.35">
      <c r="A6" s="9" t="s">
        <v>37</v>
      </c>
      <c r="B6" s="10" t="s">
        <v>38</v>
      </c>
      <c r="C6" s="10" t="s">
        <v>39</v>
      </c>
      <c r="D6" s="10" t="s">
        <v>40</v>
      </c>
      <c r="E6" s="10" t="s">
        <v>41</v>
      </c>
      <c r="F6" s="10" t="s">
        <v>42</v>
      </c>
      <c r="G6" s="10">
        <v>1234</v>
      </c>
      <c r="H6" s="10">
        <v>1123</v>
      </c>
      <c r="I6" s="10">
        <v>1122</v>
      </c>
      <c r="J6" s="10">
        <v>1112</v>
      </c>
      <c r="K6" s="10">
        <v>2345</v>
      </c>
      <c r="L6" s="10">
        <v>2234</v>
      </c>
      <c r="M6" s="10">
        <v>2233</v>
      </c>
      <c r="N6" s="10">
        <v>2223</v>
      </c>
      <c r="O6" s="10">
        <v>3456</v>
      </c>
      <c r="P6" s="10">
        <v>3345</v>
      </c>
      <c r="Q6" s="10">
        <v>3344</v>
      </c>
      <c r="R6" s="10">
        <v>3334</v>
      </c>
      <c r="S6" s="10">
        <v>4567</v>
      </c>
      <c r="T6" s="10">
        <v>4456</v>
      </c>
      <c r="U6" s="10">
        <v>4455</v>
      </c>
      <c r="V6" s="10">
        <v>4445</v>
      </c>
      <c r="W6" s="10">
        <v>5678</v>
      </c>
      <c r="X6" s="10">
        <v>5567</v>
      </c>
      <c r="Y6" s="10">
        <v>5566</v>
      </c>
      <c r="Z6" s="10">
        <v>5556</v>
      </c>
      <c r="AA6" s="10">
        <v>6789</v>
      </c>
      <c r="AB6" s="10">
        <v>6678</v>
      </c>
      <c r="AC6" s="10">
        <v>6677</v>
      </c>
      <c r="AD6" s="10">
        <v>6667</v>
      </c>
      <c r="AH6" s="123" t="s">
        <v>53</v>
      </c>
      <c r="AI6" s="132" t="b">
        <f>FALSE()</f>
        <v>0</v>
      </c>
      <c r="AJ6" s="20">
        <v>1446</v>
      </c>
      <c r="AK6" s="20">
        <v>3679</v>
      </c>
      <c r="AL6" s="20">
        <v>4566</v>
      </c>
      <c r="AM6" s="21" t="s">
        <v>298</v>
      </c>
      <c r="AN6" s="22">
        <v>1356</v>
      </c>
      <c r="AO6" s="23">
        <v>3455</v>
      </c>
      <c r="AP6" s="19"/>
    </row>
    <row r="7" spans="1:42" ht="15" customHeight="1" x14ac:dyDescent="0.35">
      <c r="A7" s="9" t="s">
        <v>48</v>
      </c>
      <c r="B7" s="10" t="s">
        <v>49</v>
      </c>
      <c r="C7" s="10" t="s">
        <v>50</v>
      </c>
      <c r="D7" s="10" t="s">
        <v>51</v>
      </c>
      <c r="E7" s="10" t="s">
        <v>52</v>
      </c>
      <c r="F7" s="10">
        <v>1111</v>
      </c>
      <c r="G7" s="10">
        <v>1235</v>
      </c>
      <c r="H7" s="10">
        <v>1124</v>
      </c>
      <c r="I7" s="10">
        <v>1133</v>
      </c>
      <c r="J7" s="10">
        <v>1113</v>
      </c>
      <c r="K7" s="10">
        <v>2346</v>
      </c>
      <c r="L7" s="10">
        <v>2235</v>
      </c>
      <c r="M7" s="10">
        <v>2244</v>
      </c>
      <c r="N7" s="10">
        <v>2224</v>
      </c>
      <c r="O7" s="10">
        <v>3457</v>
      </c>
      <c r="P7" s="10">
        <v>3346</v>
      </c>
      <c r="Q7" s="10">
        <v>3355</v>
      </c>
      <c r="R7" s="10">
        <v>3335</v>
      </c>
      <c r="S7" s="10">
        <v>4568</v>
      </c>
      <c r="T7" s="10">
        <v>4457</v>
      </c>
      <c r="U7" s="10">
        <v>4466</v>
      </c>
      <c r="V7" s="10">
        <v>4446</v>
      </c>
      <c r="W7" s="10">
        <v>5679</v>
      </c>
      <c r="X7" s="10">
        <v>5568</v>
      </c>
      <c r="Y7" s="10">
        <v>5577</v>
      </c>
      <c r="Z7" s="10">
        <v>5557</v>
      </c>
      <c r="AA7" s="10"/>
      <c r="AB7" s="10">
        <v>6679</v>
      </c>
      <c r="AC7" s="10">
        <v>6688</v>
      </c>
      <c r="AD7" s="10">
        <v>6668</v>
      </c>
      <c r="AH7" s="121"/>
      <c r="AI7" s="121"/>
      <c r="AJ7" s="10">
        <v>2556</v>
      </c>
      <c r="AK7" s="10">
        <v>1237</v>
      </c>
      <c r="AL7" s="10">
        <v>1388</v>
      </c>
      <c r="AM7" s="11">
        <v>2449</v>
      </c>
      <c r="AN7" s="12" t="s">
        <v>49</v>
      </c>
      <c r="AO7" s="23">
        <v>4678</v>
      </c>
      <c r="AP7" s="19"/>
    </row>
    <row r="8" spans="1:42" ht="15" customHeight="1" x14ac:dyDescent="0.35">
      <c r="A8" s="9" t="s">
        <v>54</v>
      </c>
      <c r="B8" s="10" t="s">
        <v>55</v>
      </c>
      <c r="C8" s="10" t="s">
        <v>56</v>
      </c>
      <c r="D8" s="10" t="s">
        <v>57</v>
      </c>
      <c r="E8" s="10" t="s">
        <v>58</v>
      </c>
      <c r="F8" s="10">
        <v>2222</v>
      </c>
      <c r="G8" s="10">
        <v>1236</v>
      </c>
      <c r="H8" s="10">
        <v>1125</v>
      </c>
      <c r="I8" s="10">
        <v>1144</v>
      </c>
      <c r="J8" s="10">
        <v>1114</v>
      </c>
      <c r="K8" s="10">
        <v>2347</v>
      </c>
      <c r="L8" s="10">
        <v>2236</v>
      </c>
      <c r="M8" s="10">
        <v>2255</v>
      </c>
      <c r="N8" s="10">
        <v>2225</v>
      </c>
      <c r="O8" s="10">
        <v>3458</v>
      </c>
      <c r="P8" s="10">
        <v>3347</v>
      </c>
      <c r="Q8" s="10">
        <v>3366</v>
      </c>
      <c r="R8" s="10">
        <v>3336</v>
      </c>
      <c r="S8" s="10">
        <v>4569</v>
      </c>
      <c r="T8" s="10">
        <v>4458</v>
      </c>
      <c r="U8" s="10">
        <v>4477</v>
      </c>
      <c r="V8" s="10">
        <v>4447</v>
      </c>
      <c r="W8" s="10">
        <v>5689</v>
      </c>
      <c r="X8" s="10">
        <v>5569</v>
      </c>
      <c r="Y8" s="10">
        <v>5588</v>
      </c>
      <c r="Z8" s="10">
        <v>5558</v>
      </c>
      <c r="AA8" s="10"/>
      <c r="AB8" s="10">
        <v>6689</v>
      </c>
      <c r="AC8" s="10">
        <v>6699</v>
      </c>
      <c r="AD8" s="10">
        <v>6669</v>
      </c>
      <c r="AF8" s="5"/>
      <c r="AH8" s="122"/>
      <c r="AI8" s="122"/>
      <c r="AJ8" s="10">
        <v>2248</v>
      </c>
      <c r="AK8" s="10" t="s">
        <v>64</v>
      </c>
      <c r="AL8" s="10" t="s">
        <v>49</v>
      </c>
      <c r="AM8" s="11" t="s">
        <v>119</v>
      </c>
      <c r="AN8" s="12">
        <v>2356</v>
      </c>
      <c r="AO8" s="23" t="s">
        <v>274</v>
      </c>
      <c r="AP8" s="19"/>
    </row>
    <row r="9" spans="1:42" ht="15" customHeight="1" x14ac:dyDescent="0.35">
      <c r="A9" s="9" t="s">
        <v>59</v>
      </c>
      <c r="B9" s="10" t="s">
        <v>60</v>
      </c>
      <c r="C9" s="10" t="s">
        <v>61</v>
      </c>
      <c r="D9" s="10" t="s">
        <v>62</v>
      </c>
      <c r="E9" s="10" t="s">
        <v>63</v>
      </c>
      <c r="F9" s="10">
        <v>3333</v>
      </c>
      <c r="G9" s="10">
        <v>1237</v>
      </c>
      <c r="H9" s="10">
        <v>1126</v>
      </c>
      <c r="I9" s="10">
        <v>1155</v>
      </c>
      <c r="J9" s="10">
        <v>1115</v>
      </c>
      <c r="K9" s="10">
        <v>2348</v>
      </c>
      <c r="L9" s="10">
        <v>2237</v>
      </c>
      <c r="M9" s="10">
        <v>2266</v>
      </c>
      <c r="N9" s="10">
        <v>2226</v>
      </c>
      <c r="O9" s="10">
        <v>3459</v>
      </c>
      <c r="P9" s="10">
        <v>3348</v>
      </c>
      <c r="Q9" s="10">
        <v>3377</v>
      </c>
      <c r="R9" s="10">
        <v>3337</v>
      </c>
      <c r="S9" s="10">
        <v>4578</v>
      </c>
      <c r="T9" s="10">
        <v>4459</v>
      </c>
      <c r="U9" s="10">
        <v>4488</v>
      </c>
      <c r="V9" s="10">
        <v>4448</v>
      </c>
      <c r="W9" s="10">
        <v>5789</v>
      </c>
      <c r="X9" s="10">
        <v>5578</v>
      </c>
      <c r="Y9" s="10">
        <v>5599</v>
      </c>
      <c r="Z9" s="10">
        <v>5559</v>
      </c>
      <c r="AA9" s="10"/>
      <c r="AB9" s="10">
        <v>6778</v>
      </c>
      <c r="AC9" s="10">
        <v>7799</v>
      </c>
      <c r="AD9" s="10">
        <v>6777</v>
      </c>
      <c r="AF9" s="5"/>
      <c r="AH9" s="123" t="s">
        <v>70</v>
      </c>
      <c r="AI9" s="131" t="b">
        <f>FALSE()</f>
        <v>0</v>
      </c>
      <c r="AJ9" s="10">
        <v>5699</v>
      </c>
      <c r="AK9" s="10">
        <v>1137</v>
      </c>
      <c r="AL9" s="10" t="s">
        <v>71</v>
      </c>
      <c r="AM9" s="11">
        <v>1237</v>
      </c>
      <c r="AN9" s="12">
        <v>1137</v>
      </c>
      <c r="AO9" s="23">
        <v>4578</v>
      </c>
      <c r="AP9" s="19"/>
    </row>
    <row r="10" spans="1:42" ht="15" customHeight="1" x14ac:dyDescent="0.35">
      <c r="A10" s="9" t="s">
        <v>65</v>
      </c>
      <c r="B10" s="10" t="s">
        <v>66</v>
      </c>
      <c r="C10" s="10" t="s">
        <v>67</v>
      </c>
      <c r="D10" s="10" t="s">
        <v>68</v>
      </c>
      <c r="E10" s="10" t="s">
        <v>69</v>
      </c>
      <c r="F10" s="10">
        <v>4444</v>
      </c>
      <c r="G10" s="10">
        <v>1238</v>
      </c>
      <c r="H10" s="10">
        <v>1127</v>
      </c>
      <c r="I10" s="10">
        <v>1166</v>
      </c>
      <c r="J10" s="10">
        <v>1116</v>
      </c>
      <c r="K10" s="10">
        <v>2349</v>
      </c>
      <c r="L10" s="10">
        <v>2238</v>
      </c>
      <c r="M10" s="10">
        <v>2277</v>
      </c>
      <c r="N10" s="10">
        <v>2227</v>
      </c>
      <c r="O10" s="10">
        <v>3467</v>
      </c>
      <c r="P10" s="10">
        <v>3349</v>
      </c>
      <c r="Q10" s="10">
        <v>3388</v>
      </c>
      <c r="R10" s="10">
        <v>3338</v>
      </c>
      <c r="S10" s="10">
        <v>4579</v>
      </c>
      <c r="T10" s="10">
        <v>4467</v>
      </c>
      <c r="U10" s="10">
        <v>4499</v>
      </c>
      <c r="V10" s="10">
        <v>4449</v>
      </c>
      <c r="W10" s="10"/>
      <c r="X10" s="10">
        <v>5579</v>
      </c>
      <c r="Y10" s="10"/>
      <c r="Z10" s="10">
        <v>5666</v>
      </c>
      <c r="AA10" s="10"/>
      <c r="AB10" s="10">
        <v>6779</v>
      </c>
      <c r="AC10" s="10"/>
      <c r="AD10" s="10">
        <v>6888</v>
      </c>
      <c r="AF10" s="5"/>
      <c r="AH10" s="121"/>
      <c r="AI10" s="121"/>
      <c r="AJ10" s="10">
        <v>2356</v>
      </c>
      <c r="AK10" s="10">
        <v>2446</v>
      </c>
      <c r="AL10" s="10">
        <v>1248</v>
      </c>
      <c r="AM10" s="11" t="s">
        <v>176</v>
      </c>
      <c r="AN10" s="12">
        <v>1335</v>
      </c>
      <c r="AO10" s="23">
        <v>1447</v>
      </c>
      <c r="AP10" s="19"/>
    </row>
    <row r="11" spans="1:42" ht="15" customHeight="1" x14ac:dyDescent="0.35">
      <c r="A11" s="9" t="s">
        <v>72</v>
      </c>
      <c r="B11" s="10" t="s">
        <v>73</v>
      </c>
      <c r="C11" s="10" t="s">
        <v>74</v>
      </c>
      <c r="D11" s="10" t="s">
        <v>75</v>
      </c>
      <c r="E11" s="10" t="s">
        <v>76</v>
      </c>
      <c r="F11" s="10">
        <v>5555</v>
      </c>
      <c r="G11" s="10">
        <v>1239</v>
      </c>
      <c r="H11" s="10">
        <v>1128</v>
      </c>
      <c r="I11" s="10">
        <v>1177</v>
      </c>
      <c r="J11" s="10">
        <v>1117</v>
      </c>
      <c r="K11" s="10">
        <v>2356</v>
      </c>
      <c r="L11" s="10">
        <v>2239</v>
      </c>
      <c r="M11" s="10">
        <v>2288</v>
      </c>
      <c r="N11" s="10">
        <v>2228</v>
      </c>
      <c r="O11" s="10">
        <v>3468</v>
      </c>
      <c r="P11" s="10">
        <v>3356</v>
      </c>
      <c r="Q11" s="10">
        <v>3399</v>
      </c>
      <c r="R11" s="10">
        <v>3339</v>
      </c>
      <c r="S11" s="10">
        <v>4589</v>
      </c>
      <c r="T11" s="10">
        <v>4468</v>
      </c>
      <c r="U11" s="10"/>
      <c r="V11" s="10">
        <v>4555</v>
      </c>
      <c r="W11" s="10"/>
      <c r="X11" s="10">
        <v>5589</v>
      </c>
      <c r="Y11" s="10"/>
      <c r="Z11" s="10">
        <v>5777</v>
      </c>
      <c r="AA11" s="10"/>
      <c r="AB11" s="10">
        <v>6788</v>
      </c>
      <c r="AC11" s="10"/>
      <c r="AD11" s="10">
        <v>6999</v>
      </c>
      <c r="AF11" s="5"/>
      <c r="AH11" s="121"/>
      <c r="AI11" s="121"/>
      <c r="AJ11" s="10">
        <v>3679</v>
      </c>
      <c r="AK11" s="10">
        <v>1339</v>
      </c>
      <c r="AL11" s="10" t="s">
        <v>38</v>
      </c>
      <c r="AM11" s="11">
        <v>1337</v>
      </c>
      <c r="AN11" s="12">
        <v>1344</v>
      </c>
      <c r="AO11" s="23">
        <v>3577</v>
      </c>
      <c r="AP11" s="19"/>
    </row>
    <row r="12" spans="1:42" ht="15" customHeight="1" x14ac:dyDescent="0.35">
      <c r="A12" s="9" t="s">
        <v>77</v>
      </c>
      <c r="B12" s="10" t="s">
        <v>78</v>
      </c>
      <c r="C12" s="10" t="s">
        <v>79</v>
      </c>
      <c r="D12" s="10" t="s">
        <v>80</v>
      </c>
      <c r="E12" s="10" t="s">
        <v>81</v>
      </c>
      <c r="F12" s="10">
        <v>6666</v>
      </c>
      <c r="G12" s="10">
        <v>1245</v>
      </c>
      <c r="H12" s="10">
        <v>1129</v>
      </c>
      <c r="I12" s="10">
        <v>1188</v>
      </c>
      <c r="J12" s="10">
        <v>1118</v>
      </c>
      <c r="K12" s="10">
        <v>2357</v>
      </c>
      <c r="L12" s="10">
        <v>2245</v>
      </c>
      <c r="M12" s="10">
        <v>2299</v>
      </c>
      <c r="N12" s="10">
        <v>2229</v>
      </c>
      <c r="O12" s="10">
        <v>3469</v>
      </c>
      <c r="P12" s="10">
        <v>3357</v>
      </c>
      <c r="Q12" s="10">
        <v>3455</v>
      </c>
      <c r="R12" s="10">
        <v>3444</v>
      </c>
      <c r="S12" s="10">
        <v>4678</v>
      </c>
      <c r="T12" s="10">
        <v>4469</v>
      </c>
      <c r="U12" s="10"/>
      <c r="V12" s="10">
        <v>4666</v>
      </c>
      <c r="W12" s="10"/>
      <c r="X12" s="10">
        <v>5667</v>
      </c>
      <c r="Y12" s="10"/>
      <c r="Z12" s="10">
        <v>5888</v>
      </c>
      <c r="AA12" s="10"/>
      <c r="AB12" s="10">
        <v>6799</v>
      </c>
      <c r="AC12" s="10"/>
      <c r="AD12" s="10"/>
      <c r="AF12" s="5"/>
      <c r="AH12" s="121"/>
      <c r="AI12" s="121"/>
      <c r="AJ12" s="10" t="s">
        <v>51</v>
      </c>
      <c r="AK12" s="10">
        <v>3667</v>
      </c>
      <c r="AL12" s="10">
        <v>5588</v>
      </c>
      <c r="AM12" s="11">
        <v>1489</v>
      </c>
      <c r="AN12" s="12">
        <v>2448</v>
      </c>
      <c r="AO12" s="23">
        <v>1238</v>
      </c>
      <c r="AP12" s="19"/>
    </row>
    <row r="13" spans="1:42" ht="15" customHeight="1" x14ac:dyDescent="0.35">
      <c r="A13" s="9" t="s">
        <v>82</v>
      </c>
      <c r="B13" s="10" t="s">
        <v>83</v>
      </c>
      <c r="C13" s="10" t="s">
        <v>84</v>
      </c>
      <c r="D13" s="10" t="s">
        <v>85</v>
      </c>
      <c r="E13" s="10" t="s">
        <v>86</v>
      </c>
      <c r="F13" s="10">
        <v>7777</v>
      </c>
      <c r="G13" s="10">
        <v>1246</v>
      </c>
      <c r="H13" s="10">
        <v>1134</v>
      </c>
      <c r="I13" s="10">
        <v>1199</v>
      </c>
      <c r="J13" s="10">
        <v>1119</v>
      </c>
      <c r="K13" s="10">
        <v>2358</v>
      </c>
      <c r="L13" s="10">
        <v>2246</v>
      </c>
      <c r="M13" s="10"/>
      <c r="N13" s="10">
        <v>2333</v>
      </c>
      <c r="O13" s="10">
        <v>3478</v>
      </c>
      <c r="P13" s="10">
        <v>3358</v>
      </c>
      <c r="Q13" s="10"/>
      <c r="R13" s="10">
        <v>3555</v>
      </c>
      <c r="S13" s="10">
        <v>4679</v>
      </c>
      <c r="T13" s="10">
        <v>4478</v>
      </c>
      <c r="U13" s="10"/>
      <c r="V13" s="10">
        <v>4777</v>
      </c>
      <c r="W13" s="10"/>
      <c r="X13" s="10">
        <v>5668</v>
      </c>
      <c r="Y13" s="10"/>
      <c r="Z13" s="10">
        <v>5999</v>
      </c>
      <c r="AA13" s="10"/>
      <c r="AB13" s="10">
        <v>6889</v>
      </c>
      <c r="AC13" s="10"/>
      <c r="AD13" s="10"/>
      <c r="AF13" s="5"/>
      <c r="AH13" s="121"/>
      <c r="AI13" s="121"/>
      <c r="AJ13" s="10">
        <v>1445</v>
      </c>
      <c r="AK13" s="10">
        <v>2568</v>
      </c>
      <c r="AL13" s="10">
        <v>6678</v>
      </c>
      <c r="AM13" s="11">
        <v>2349</v>
      </c>
      <c r="AN13" s="12">
        <v>3679</v>
      </c>
      <c r="AO13" s="23">
        <v>2456</v>
      </c>
      <c r="AP13" s="19"/>
    </row>
    <row r="14" spans="1:42" ht="15" customHeight="1" x14ac:dyDescent="0.35">
      <c r="A14" s="9" t="s">
        <v>87</v>
      </c>
      <c r="B14" s="10" t="s">
        <v>88</v>
      </c>
      <c r="C14" s="10" t="s">
        <v>89</v>
      </c>
      <c r="D14" s="10" t="s">
        <v>90</v>
      </c>
      <c r="E14" s="10" t="s">
        <v>91</v>
      </c>
      <c r="F14" s="10">
        <v>8888</v>
      </c>
      <c r="G14" s="10">
        <v>1247</v>
      </c>
      <c r="H14" s="10">
        <v>1135</v>
      </c>
      <c r="I14" s="10"/>
      <c r="J14" s="10">
        <v>1222</v>
      </c>
      <c r="K14" s="10">
        <v>2359</v>
      </c>
      <c r="L14" s="10">
        <v>2247</v>
      </c>
      <c r="M14" s="10"/>
      <c r="N14" s="10">
        <v>2444</v>
      </c>
      <c r="O14" s="10">
        <v>3479</v>
      </c>
      <c r="P14" s="10">
        <v>3359</v>
      </c>
      <c r="Q14" s="10"/>
      <c r="R14" s="10">
        <v>3666</v>
      </c>
      <c r="S14" s="10">
        <v>4689</v>
      </c>
      <c r="T14" s="10">
        <v>4479</v>
      </c>
      <c r="U14" s="10"/>
      <c r="V14" s="10">
        <v>4888</v>
      </c>
      <c r="W14" s="10"/>
      <c r="X14" s="10">
        <v>5669</v>
      </c>
      <c r="Y14" s="10"/>
      <c r="Z14" s="10"/>
      <c r="AA14" s="10"/>
      <c r="AB14" s="10">
        <v>6899</v>
      </c>
      <c r="AC14" s="10"/>
      <c r="AD14" s="10"/>
      <c r="AF14" s="5"/>
      <c r="AH14" s="121"/>
      <c r="AI14" s="121"/>
      <c r="AJ14" s="10" t="s">
        <v>96</v>
      </c>
      <c r="AK14" s="10">
        <v>1344</v>
      </c>
      <c r="AL14" s="10" t="s">
        <v>97</v>
      </c>
      <c r="AM14" s="11">
        <v>2589</v>
      </c>
      <c r="AN14" s="12">
        <v>5588</v>
      </c>
      <c r="AO14" s="23">
        <v>5789</v>
      </c>
      <c r="AP14" s="19"/>
    </row>
    <row r="15" spans="1:42" ht="15" customHeight="1" x14ac:dyDescent="0.35">
      <c r="A15" s="9" t="s">
        <v>92</v>
      </c>
      <c r="B15" s="10" t="s">
        <v>93</v>
      </c>
      <c r="C15" s="10" t="s">
        <v>94</v>
      </c>
      <c r="D15" s="10">
        <v>7788</v>
      </c>
      <c r="E15" s="10" t="s">
        <v>95</v>
      </c>
      <c r="F15" s="10">
        <v>9999</v>
      </c>
      <c r="G15" s="10">
        <v>1248</v>
      </c>
      <c r="H15" s="10">
        <v>1136</v>
      </c>
      <c r="I15" s="10"/>
      <c r="J15" s="10">
        <v>1333</v>
      </c>
      <c r="K15" s="10">
        <v>2367</v>
      </c>
      <c r="L15" s="10">
        <v>2248</v>
      </c>
      <c r="M15" s="10"/>
      <c r="N15" s="10">
        <v>2555</v>
      </c>
      <c r="O15" s="10">
        <v>3489</v>
      </c>
      <c r="P15" s="10">
        <v>3367</v>
      </c>
      <c r="Q15" s="10"/>
      <c r="R15" s="10">
        <v>3777</v>
      </c>
      <c r="S15" s="10">
        <v>4789</v>
      </c>
      <c r="T15" s="10">
        <v>4489</v>
      </c>
      <c r="U15" s="10"/>
      <c r="V15" s="10">
        <v>4999</v>
      </c>
      <c r="W15" s="10"/>
      <c r="X15" s="10">
        <v>5677</v>
      </c>
      <c r="Y15" s="10"/>
      <c r="Z15" s="10"/>
      <c r="AA15" s="10"/>
      <c r="AB15" s="10">
        <v>7789</v>
      </c>
      <c r="AC15" s="10"/>
      <c r="AD15" s="10"/>
      <c r="AF15" s="5"/>
      <c r="AH15" s="121"/>
      <c r="AI15" s="121"/>
      <c r="AJ15" s="10" t="s">
        <v>102</v>
      </c>
      <c r="AK15" s="10">
        <v>2337</v>
      </c>
      <c r="AL15" s="10">
        <v>6667</v>
      </c>
      <c r="AM15" s="11" t="s">
        <v>332</v>
      </c>
      <c r="AN15" s="12" t="s">
        <v>103</v>
      </c>
      <c r="AO15" s="23" t="s">
        <v>307</v>
      </c>
      <c r="AP15" s="19"/>
    </row>
    <row r="16" spans="1:42" ht="15" customHeight="1" x14ac:dyDescent="0.35">
      <c r="A16" s="9" t="s">
        <v>98</v>
      </c>
      <c r="B16" s="10" t="s">
        <v>99</v>
      </c>
      <c r="C16" s="10" t="s">
        <v>100</v>
      </c>
      <c r="D16" s="10">
        <v>8899</v>
      </c>
      <c r="E16" s="10" t="s">
        <v>101</v>
      </c>
      <c r="F16" s="10"/>
      <c r="G16" s="10">
        <v>1249</v>
      </c>
      <c r="H16" s="10">
        <v>1137</v>
      </c>
      <c r="I16" s="10"/>
      <c r="J16" s="10">
        <v>1444</v>
      </c>
      <c r="K16" s="10">
        <v>2368</v>
      </c>
      <c r="L16" s="10">
        <v>2249</v>
      </c>
      <c r="M16" s="10"/>
      <c r="N16" s="10">
        <v>2666</v>
      </c>
      <c r="O16" s="10">
        <v>3567</v>
      </c>
      <c r="P16" s="10">
        <v>3368</v>
      </c>
      <c r="Q16" s="10"/>
      <c r="R16" s="10">
        <v>3888</v>
      </c>
      <c r="S16" s="10"/>
      <c r="T16" s="10">
        <v>4556</v>
      </c>
      <c r="U16" s="10"/>
      <c r="V16" s="10"/>
      <c r="W16" s="10"/>
      <c r="X16" s="10">
        <v>5688</v>
      </c>
      <c r="Y16" s="10"/>
      <c r="Z16" s="10"/>
      <c r="AA16" s="10"/>
      <c r="AB16" s="10">
        <v>7889</v>
      </c>
      <c r="AC16" s="10"/>
      <c r="AD16" s="10"/>
      <c r="AF16" s="5"/>
      <c r="AH16" s="121"/>
      <c r="AI16" s="121"/>
      <c r="AJ16" s="10" t="s">
        <v>108</v>
      </c>
      <c r="AK16" s="10">
        <v>2489</v>
      </c>
      <c r="AL16" s="10" t="s">
        <v>109</v>
      </c>
      <c r="AM16" s="11" t="s">
        <v>78</v>
      </c>
      <c r="AN16" s="12" t="s">
        <v>71</v>
      </c>
      <c r="AO16" s="23" t="s">
        <v>195</v>
      </c>
      <c r="AP16" s="19"/>
    </row>
    <row r="17" spans="1:42" ht="15" customHeight="1" x14ac:dyDescent="0.35">
      <c r="A17" s="9" t="s">
        <v>104</v>
      </c>
      <c r="B17" s="10" t="s">
        <v>105</v>
      </c>
      <c r="C17" s="10" t="s">
        <v>106</v>
      </c>
      <c r="D17" s="10"/>
      <c r="E17" s="10" t="s">
        <v>107</v>
      </c>
      <c r="F17" s="10"/>
      <c r="G17" s="10">
        <v>1256</v>
      </c>
      <c r="H17" s="10">
        <v>1138</v>
      </c>
      <c r="I17" s="10"/>
      <c r="J17" s="10">
        <v>1555</v>
      </c>
      <c r="K17" s="10">
        <v>2369</v>
      </c>
      <c r="L17" s="10">
        <v>2256</v>
      </c>
      <c r="M17" s="10"/>
      <c r="N17" s="10">
        <v>2777</v>
      </c>
      <c r="O17" s="10">
        <v>3568</v>
      </c>
      <c r="P17" s="10">
        <v>3369</v>
      </c>
      <c r="Q17" s="10"/>
      <c r="R17" s="10">
        <v>3999</v>
      </c>
      <c r="S17" s="10"/>
      <c r="T17" s="10">
        <v>4557</v>
      </c>
      <c r="U17" s="10"/>
      <c r="V17" s="10"/>
      <c r="W17" s="10"/>
      <c r="X17" s="10">
        <v>5699</v>
      </c>
      <c r="Y17" s="10"/>
      <c r="Z17" s="10"/>
      <c r="AA17" s="10"/>
      <c r="AB17" s="10">
        <v>7899</v>
      </c>
      <c r="AC17" s="10"/>
      <c r="AD17" s="10"/>
      <c r="AF17" s="5"/>
      <c r="AH17" s="121"/>
      <c r="AI17" s="121"/>
      <c r="AJ17" s="10">
        <v>1347</v>
      </c>
      <c r="AK17" s="10">
        <v>1668</v>
      </c>
      <c r="AL17" s="10" t="s">
        <v>113</v>
      </c>
      <c r="AM17" s="11" t="s">
        <v>215</v>
      </c>
      <c r="AN17" s="12">
        <v>2446</v>
      </c>
      <c r="AO17" s="23">
        <v>1488</v>
      </c>
      <c r="AP17" s="19"/>
    </row>
    <row r="18" spans="1:42" ht="15" customHeight="1" x14ac:dyDescent="0.35">
      <c r="A18" s="9" t="s">
        <v>110</v>
      </c>
      <c r="B18" s="10" t="s">
        <v>111</v>
      </c>
      <c r="C18" s="10" t="s">
        <v>108</v>
      </c>
      <c r="D18" s="10"/>
      <c r="E18" s="10" t="s">
        <v>112</v>
      </c>
      <c r="F18" s="10"/>
      <c r="G18" s="10">
        <v>1257</v>
      </c>
      <c r="H18" s="10">
        <v>1139</v>
      </c>
      <c r="I18" s="10"/>
      <c r="J18" s="10">
        <v>1666</v>
      </c>
      <c r="K18" s="10">
        <v>2378</v>
      </c>
      <c r="L18" s="10">
        <v>2257</v>
      </c>
      <c r="M18" s="10"/>
      <c r="N18" s="10">
        <v>2888</v>
      </c>
      <c r="O18" s="10">
        <v>3569</v>
      </c>
      <c r="P18" s="10">
        <v>3378</v>
      </c>
      <c r="Q18" s="10"/>
      <c r="R18" s="10"/>
      <c r="S18" s="10"/>
      <c r="T18" s="10">
        <v>4558</v>
      </c>
      <c r="U18" s="10"/>
      <c r="V18" s="10"/>
      <c r="W18" s="10"/>
      <c r="X18" s="10">
        <v>5778</v>
      </c>
      <c r="Y18" s="10"/>
      <c r="Z18" s="10"/>
      <c r="AA18" s="10"/>
      <c r="AB18" s="10"/>
      <c r="AC18" s="10"/>
      <c r="AD18" s="10"/>
      <c r="AF18" s="5"/>
      <c r="AH18" s="122"/>
      <c r="AI18" s="122"/>
      <c r="AJ18" s="10">
        <v>5689</v>
      </c>
      <c r="AK18" s="10">
        <v>1367</v>
      </c>
      <c r="AL18" s="10">
        <v>1356</v>
      </c>
      <c r="AM18" s="11" t="s">
        <v>151</v>
      </c>
      <c r="AN18" s="12">
        <v>2489</v>
      </c>
      <c r="AO18" s="23">
        <v>2378</v>
      </c>
      <c r="AP18" s="19"/>
    </row>
    <row r="19" spans="1:42" ht="15" customHeight="1" x14ac:dyDescent="0.35">
      <c r="A19" s="9" t="s">
        <v>114</v>
      </c>
      <c r="B19" s="10" t="s">
        <v>115</v>
      </c>
      <c r="C19" s="10" t="s">
        <v>116</v>
      </c>
      <c r="D19" s="10"/>
      <c r="E19" s="10" t="s">
        <v>117</v>
      </c>
      <c r="F19" s="10"/>
      <c r="G19" s="10">
        <v>1258</v>
      </c>
      <c r="H19" s="10">
        <v>1145</v>
      </c>
      <c r="I19" s="10"/>
      <c r="J19" s="10">
        <v>1777</v>
      </c>
      <c r="K19" s="10">
        <v>2379</v>
      </c>
      <c r="L19" s="10">
        <v>2258</v>
      </c>
      <c r="M19" s="10"/>
      <c r="N19" s="10">
        <v>2999</v>
      </c>
      <c r="O19" s="10">
        <v>3578</v>
      </c>
      <c r="P19" s="10">
        <v>3379</v>
      </c>
      <c r="Q19" s="10"/>
      <c r="R19" s="10"/>
      <c r="S19" s="10"/>
      <c r="T19" s="10">
        <v>4559</v>
      </c>
      <c r="U19" s="10"/>
      <c r="V19" s="10"/>
      <c r="W19" s="10"/>
      <c r="X19" s="10">
        <v>5779</v>
      </c>
      <c r="Y19" s="10"/>
      <c r="Z19" s="10"/>
      <c r="AA19" s="10"/>
      <c r="AB19" s="10"/>
      <c r="AC19" s="10"/>
      <c r="AD19" s="10"/>
      <c r="AF19" s="5"/>
      <c r="AH19" s="123" t="s">
        <v>122</v>
      </c>
      <c r="AI19" s="133" t="b">
        <f>FALSE()</f>
        <v>0</v>
      </c>
      <c r="AJ19" s="10">
        <v>1679</v>
      </c>
      <c r="AK19" s="10" t="s">
        <v>49</v>
      </c>
      <c r="AL19" s="10">
        <v>2356</v>
      </c>
      <c r="AM19" s="11">
        <v>3579</v>
      </c>
      <c r="AN19" s="12">
        <v>1347</v>
      </c>
      <c r="AO19" s="23" t="s">
        <v>215</v>
      </c>
      <c r="AP19" s="19"/>
    </row>
    <row r="20" spans="1:42" ht="15" customHeight="1" x14ac:dyDescent="0.35">
      <c r="A20" s="9" t="s">
        <v>118</v>
      </c>
      <c r="B20" s="10" t="s">
        <v>119</v>
      </c>
      <c r="C20" s="10" t="s">
        <v>120</v>
      </c>
      <c r="D20" s="10"/>
      <c r="E20" s="10" t="s">
        <v>121</v>
      </c>
      <c r="F20" s="10"/>
      <c r="G20" s="10">
        <v>1259</v>
      </c>
      <c r="H20" s="10">
        <v>1146</v>
      </c>
      <c r="I20" s="10"/>
      <c r="J20" s="10">
        <v>1888</v>
      </c>
      <c r="K20" s="10">
        <v>2389</v>
      </c>
      <c r="L20" s="10">
        <v>2259</v>
      </c>
      <c r="M20" s="10"/>
      <c r="N20" s="10"/>
      <c r="O20" s="10">
        <v>3579</v>
      </c>
      <c r="P20" s="10">
        <v>3389</v>
      </c>
      <c r="Q20" s="10"/>
      <c r="R20" s="10"/>
      <c r="S20" s="10"/>
      <c r="T20" s="10">
        <v>4566</v>
      </c>
      <c r="U20" s="10"/>
      <c r="V20" s="10"/>
      <c r="W20" s="10"/>
      <c r="X20" s="10">
        <v>5788</v>
      </c>
      <c r="Y20" s="10"/>
      <c r="Z20" s="10"/>
      <c r="AA20" s="10"/>
      <c r="AB20" s="10"/>
      <c r="AC20" s="10"/>
      <c r="AD20" s="10"/>
      <c r="AF20" s="5"/>
      <c r="AH20" s="121"/>
      <c r="AI20" s="121"/>
      <c r="AJ20" s="10">
        <v>5578</v>
      </c>
      <c r="AK20" s="10">
        <v>1356</v>
      </c>
      <c r="AL20" s="10">
        <v>1355</v>
      </c>
      <c r="AM20" s="11">
        <v>1377</v>
      </c>
      <c r="AN20" s="12">
        <v>1457</v>
      </c>
      <c r="AO20" s="23">
        <v>3467</v>
      </c>
      <c r="AP20" s="19"/>
    </row>
    <row r="21" spans="1:42" ht="15" customHeight="1" x14ac:dyDescent="0.35">
      <c r="A21" s="9" t="s">
        <v>123</v>
      </c>
      <c r="B21" s="10" t="s">
        <v>124</v>
      </c>
      <c r="C21" s="10" t="s">
        <v>125</v>
      </c>
      <c r="D21" s="10"/>
      <c r="E21" s="10" t="s">
        <v>126</v>
      </c>
      <c r="F21" s="10"/>
      <c r="G21" s="10">
        <v>1267</v>
      </c>
      <c r="H21" s="10">
        <v>1147</v>
      </c>
      <c r="I21" s="10"/>
      <c r="J21" s="10">
        <v>1999</v>
      </c>
      <c r="K21" s="10">
        <v>2456</v>
      </c>
      <c r="L21" s="10">
        <v>2267</v>
      </c>
      <c r="M21" s="10"/>
      <c r="N21" s="10"/>
      <c r="O21" s="10">
        <v>3589</v>
      </c>
      <c r="P21" s="10">
        <v>3445</v>
      </c>
      <c r="Q21" s="10"/>
      <c r="R21" s="10"/>
      <c r="S21" s="10"/>
      <c r="T21" s="10">
        <v>4577</v>
      </c>
      <c r="U21" s="10"/>
      <c r="V21" s="10"/>
      <c r="W21" s="10"/>
      <c r="X21" s="10">
        <v>5799</v>
      </c>
      <c r="Y21" s="10"/>
      <c r="Z21" s="10"/>
      <c r="AA21" s="10"/>
      <c r="AB21" s="10"/>
      <c r="AC21" s="10"/>
      <c r="AD21" s="10"/>
      <c r="AF21" s="5"/>
      <c r="AH21" s="121"/>
      <c r="AI21" s="121"/>
      <c r="AJ21" s="10">
        <v>1344</v>
      </c>
      <c r="AK21" s="10" t="s">
        <v>94</v>
      </c>
      <c r="AL21" s="10" t="s">
        <v>106</v>
      </c>
      <c r="AM21" s="11" t="s">
        <v>116</v>
      </c>
      <c r="AN21" s="12">
        <v>1679</v>
      </c>
      <c r="AO21" s="23">
        <v>4469</v>
      </c>
      <c r="AP21" s="19"/>
    </row>
    <row r="22" spans="1:42" ht="15" customHeight="1" x14ac:dyDescent="0.35">
      <c r="A22" s="9" t="s">
        <v>127</v>
      </c>
      <c r="B22" s="10" t="s">
        <v>128</v>
      </c>
      <c r="C22" s="10" t="s">
        <v>129</v>
      </c>
      <c r="D22" s="10"/>
      <c r="E22" s="10" t="s">
        <v>130</v>
      </c>
      <c r="F22" s="10"/>
      <c r="G22" s="10">
        <v>1268</v>
      </c>
      <c r="H22" s="10">
        <v>1148</v>
      </c>
      <c r="I22" s="10"/>
      <c r="J22" s="10"/>
      <c r="K22" s="10">
        <v>2457</v>
      </c>
      <c r="L22" s="10">
        <v>2268</v>
      </c>
      <c r="M22" s="10"/>
      <c r="N22" s="10"/>
      <c r="O22" s="10">
        <v>3678</v>
      </c>
      <c r="P22" s="10">
        <v>3446</v>
      </c>
      <c r="Q22" s="10"/>
      <c r="R22" s="10"/>
      <c r="S22" s="10"/>
      <c r="T22" s="10">
        <v>4588</v>
      </c>
      <c r="U22" s="10"/>
      <c r="V22" s="10"/>
      <c r="W22" s="10"/>
      <c r="X22" s="10">
        <v>5889</v>
      </c>
      <c r="Y22" s="10"/>
      <c r="Z22" s="10"/>
      <c r="AA22" s="10"/>
      <c r="AB22" s="10"/>
      <c r="AC22" s="10"/>
      <c r="AD22" s="10"/>
      <c r="AF22" s="5"/>
      <c r="AH22" s="121"/>
      <c r="AI22" s="121"/>
      <c r="AJ22" s="10">
        <v>1457</v>
      </c>
      <c r="AK22" s="10" t="s">
        <v>135</v>
      </c>
      <c r="AL22" s="10">
        <v>3599</v>
      </c>
      <c r="AM22" s="11">
        <v>1167</v>
      </c>
      <c r="AN22" s="12">
        <v>3568</v>
      </c>
      <c r="AO22" s="23" t="s">
        <v>88</v>
      </c>
      <c r="AP22" s="19"/>
    </row>
    <row r="23" spans="1:42" ht="15" customHeight="1" x14ac:dyDescent="0.35">
      <c r="A23" s="9" t="s">
        <v>131</v>
      </c>
      <c r="B23" s="10" t="s">
        <v>132</v>
      </c>
      <c r="C23" s="10" t="s">
        <v>133</v>
      </c>
      <c r="D23" s="10"/>
      <c r="E23" s="10" t="s">
        <v>134</v>
      </c>
      <c r="F23" s="10"/>
      <c r="G23" s="10">
        <v>1269</v>
      </c>
      <c r="H23" s="10">
        <v>1149</v>
      </c>
      <c r="I23" s="10"/>
      <c r="J23" s="10"/>
      <c r="K23" s="10">
        <v>2458</v>
      </c>
      <c r="L23" s="10">
        <v>2269</v>
      </c>
      <c r="M23" s="10"/>
      <c r="N23" s="10"/>
      <c r="O23" s="10">
        <v>3679</v>
      </c>
      <c r="P23" s="10">
        <v>3447</v>
      </c>
      <c r="Q23" s="10"/>
      <c r="R23" s="10"/>
      <c r="S23" s="10"/>
      <c r="T23" s="10">
        <v>4599</v>
      </c>
      <c r="U23" s="10"/>
      <c r="V23" s="10"/>
      <c r="W23" s="10"/>
      <c r="X23" s="10">
        <v>5899</v>
      </c>
      <c r="Y23" s="10"/>
      <c r="Z23" s="10"/>
      <c r="AA23" s="10"/>
      <c r="AB23" s="10"/>
      <c r="AC23" s="10"/>
      <c r="AD23" s="10"/>
      <c r="AF23" s="5"/>
      <c r="AH23" s="121"/>
      <c r="AI23" s="121"/>
      <c r="AJ23" s="10">
        <v>3568</v>
      </c>
      <c r="AK23" s="10" t="s">
        <v>95</v>
      </c>
      <c r="AL23" s="10" t="s">
        <v>139</v>
      </c>
      <c r="AM23" s="11">
        <v>4558</v>
      </c>
      <c r="AN23" s="12">
        <v>5699</v>
      </c>
      <c r="AO23" s="23" t="s">
        <v>135</v>
      </c>
      <c r="AP23" s="19"/>
    </row>
    <row r="24" spans="1:42" ht="15" customHeight="1" x14ac:dyDescent="0.35">
      <c r="A24" s="9" t="s">
        <v>136</v>
      </c>
      <c r="B24" s="10" t="s">
        <v>137</v>
      </c>
      <c r="C24" s="10" t="s">
        <v>138</v>
      </c>
      <c r="D24" s="10"/>
      <c r="E24" s="10">
        <v>7778</v>
      </c>
      <c r="F24" s="10"/>
      <c r="G24" s="10">
        <v>1278</v>
      </c>
      <c r="H24" s="10">
        <v>1156</v>
      </c>
      <c r="I24" s="10"/>
      <c r="J24" s="10"/>
      <c r="K24" s="10">
        <v>2459</v>
      </c>
      <c r="L24" s="10">
        <v>2278</v>
      </c>
      <c r="M24" s="10"/>
      <c r="N24" s="10"/>
      <c r="O24" s="10">
        <v>3689</v>
      </c>
      <c r="P24" s="10">
        <v>3448</v>
      </c>
      <c r="Q24" s="10"/>
      <c r="R24" s="10"/>
      <c r="S24" s="10"/>
      <c r="T24" s="10">
        <v>4667</v>
      </c>
      <c r="U24" s="10"/>
      <c r="V24" s="10"/>
      <c r="W24" s="10"/>
      <c r="X24" s="10"/>
      <c r="Y24" s="10"/>
      <c r="Z24" s="10"/>
      <c r="AA24" s="10"/>
      <c r="AB24" s="10"/>
      <c r="AC24" s="10"/>
      <c r="AD24" s="10"/>
      <c r="AF24" s="5"/>
      <c r="AH24" s="121"/>
      <c r="AI24" s="121"/>
      <c r="AJ24" s="10">
        <v>1137</v>
      </c>
      <c r="AK24" s="10">
        <v>1589</v>
      </c>
      <c r="AL24" s="10" t="s">
        <v>143</v>
      </c>
      <c r="AM24" s="11">
        <v>6689</v>
      </c>
      <c r="AN24" s="12" t="s">
        <v>96</v>
      </c>
      <c r="AO24" s="23">
        <v>2356</v>
      </c>
      <c r="AP24" s="19"/>
    </row>
    <row r="25" spans="1:42" ht="15" customHeight="1" x14ac:dyDescent="0.35">
      <c r="A25" s="9" t="s">
        <v>140</v>
      </c>
      <c r="B25" s="10" t="s">
        <v>141</v>
      </c>
      <c r="C25" s="10" t="s">
        <v>142</v>
      </c>
      <c r="D25" s="10"/>
      <c r="E25" s="10">
        <v>7779</v>
      </c>
      <c r="F25" s="10"/>
      <c r="G25" s="10">
        <v>1279</v>
      </c>
      <c r="H25" s="10">
        <v>1157</v>
      </c>
      <c r="I25" s="10"/>
      <c r="J25" s="10"/>
      <c r="K25" s="10">
        <v>2467</v>
      </c>
      <c r="L25" s="10">
        <v>2279</v>
      </c>
      <c r="M25" s="10"/>
      <c r="N25" s="10"/>
      <c r="O25" s="10">
        <v>3789</v>
      </c>
      <c r="P25" s="10">
        <v>3449</v>
      </c>
      <c r="Q25" s="10"/>
      <c r="R25" s="10"/>
      <c r="S25" s="10"/>
      <c r="T25" s="10">
        <v>4668</v>
      </c>
      <c r="U25" s="10"/>
      <c r="V25" s="10"/>
      <c r="W25" s="10"/>
      <c r="X25" s="10"/>
      <c r="Y25" s="10"/>
      <c r="Z25" s="10"/>
      <c r="AA25" s="10"/>
      <c r="AB25" s="10"/>
      <c r="AC25" s="10"/>
      <c r="AD25" s="10"/>
      <c r="AF25" s="5"/>
      <c r="AH25" s="121"/>
      <c r="AI25" s="121"/>
      <c r="AJ25" s="10">
        <v>1335</v>
      </c>
      <c r="AK25" s="10">
        <v>1335</v>
      </c>
      <c r="AL25" s="10">
        <v>1456</v>
      </c>
      <c r="AM25" s="11" t="s">
        <v>201</v>
      </c>
      <c r="AN25" s="12">
        <v>1248</v>
      </c>
      <c r="AO25" s="23">
        <v>2355</v>
      </c>
      <c r="AP25" s="29" t="s">
        <v>428</v>
      </c>
    </row>
    <row r="26" spans="1:42" ht="15" customHeight="1" x14ac:dyDescent="0.35">
      <c r="A26" s="9" t="s">
        <v>144</v>
      </c>
      <c r="B26" s="10" t="s">
        <v>145</v>
      </c>
      <c r="C26" s="10" t="s">
        <v>139</v>
      </c>
      <c r="D26" s="10"/>
      <c r="E26" s="10">
        <v>7888</v>
      </c>
      <c r="F26" s="10"/>
      <c r="G26" s="10">
        <v>1289</v>
      </c>
      <c r="H26" s="10">
        <v>1158</v>
      </c>
      <c r="I26" s="10"/>
      <c r="J26" s="10"/>
      <c r="K26" s="10">
        <v>2468</v>
      </c>
      <c r="L26" s="10">
        <v>2289</v>
      </c>
      <c r="M26" s="10"/>
      <c r="N26" s="10"/>
      <c r="O26" s="10"/>
      <c r="P26" s="10">
        <v>3466</v>
      </c>
      <c r="Q26" s="10"/>
      <c r="R26" s="10"/>
      <c r="S26" s="10"/>
      <c r="T26" s="10">
        <v>4669</v>
      </c>
      <c r="U26" s="10"/>
      <c r="V26" s="10"/>
      <c r="W26" s="10"/>
      <c r="X26" s="10"/>
      <c r="Y26" s="10"/>
      <c r="Z26" s="10"/>
      <c r="AA26" s="10"/>
      <c r="AB26" s="10"/>
      <c r="AC26" s="10"/>
      <c r="AD26" s="10"/>
      <c r="AF26" s="5"/>
      <c r="AH26" s="121"/>
      <c r="AI26" s="121"/>
      <c r="AJ26" s="10" t="s">
        <v>149</v>
      </c>
      <c r="AK26" s="10">
        <v>1246</v>
      </c>
      <c r="AL26" s="10">
        <v>2448</v>
      </c>
      <c r="AM26" s="11" t="s">
        <v>261</v>
      </c>
      <c r="AN26" s="12">
        <v>1355</v>
      </c>
      <c r="AO26" s="23" t="s">
        <v>314</v>
      </c>
      <c r="AP26" s="19"/>
    </row>
    <row r="27" spans="1:42" ht="15" customHeight="1" x14ac:dyDescent="0.35">
      <c r="A27" s="9" t="s">
        <v>146</v>
      </c>
      <c r="B27" s="10" t="s">
        <v>147</v>
      </c>
      <c r="C27" s="10" t="s">
        <v>148</v>
      </c>
      <c r="D27" s="10"/>
      <c r="E27" s="10">
        <v>7999</v>
      </c>
      <c r="F27" s="10"/>
      <c r="G27" s="10">
        <v>1345</v>
      </c>
      <c r="H27" s="10">
        <v>1159</v>
      </c>
      <c r="I27" s="10"/>
      <c r="J27" s="10"/>
      <c r="K27" s="10">
        <v>2469</v>
      </c>
      <c r="L27" s="10">
        <v>2334</v>
      </c>
      <c r="M27" s="10"/>
      <c r="N27" s="10"/>
      <c r="O27" s="10"/>
      <c r="P27" s="10">
        <v>3477</v>
      </c>
      <c r="Q27" s="10"/>
      <c r="R27" s="10"/>
      <c r="S27" s="10"/>
      <c r="T27" s="10">
        <v>4677</v>
      </c>
      <c r="U27" s="10"/>
      <c r="V27" s="10"/>
      <c r="W27" s="10"/>
      <c r="X27" s="10"/>
      <c r="Y27" s="10"/>
      <c r="Z27" s="10"/>
      <c r="AA27" s="10"/>
      <c r="AB27" s="10"/>
      <c r="AC27" s="10"/>
      <c r="AD27" s="10"/>
      <c r="AF27" s="5"/>
      <c r="AH27" s="121"/>
      <c r="AI27" s="121"/>
      <c r="AJ27" s="10">
        <v>1148</v>
      </c>
      <c r="AK27" s="10" t="s">
        <v>153</v>
      </c>
      <c r="AL27" s="10">
        <v>3668</v>
      </c>
      <c r="AM27" s="11" t="s">
        <v>88</v>
      </c>
      <c r="AN27" s="12">
        <v>1388</v>
      </c>
      <c r="AO27" s="23">
        <v>1378</v>
      </c>
      <c r="AP27" s="19"/>
    </row>
    <row r="28" spans="1:42" ht="15" customHeight="1" x14ac:dyDescent="0.35">
      <c r="A28" s="9" t="s">
        <v>150</v>
      </c>
      <c r="B28" s="10" t="s">
        <v>151</v>
      </c>
      <c r="C28" s="10" t="s">
        <v>152</v>
      </c>
      <c r="D28" s="10"/>
      <c r="E28" s="10">
        <v>8889</v>
      </c>
      <c r="F28" s="10"/>
      <c r="G28" s="10">
        <v>1346</v>
      </c>
      <c r="H28" s="10">
        <v>1167</v>
      </c>
      <c r="I28" s="10"/>
      <c r="J28" s="10"/>
      <c r="K28" s="10">
        <v>2478</v>
      </c>
      <c r="L28" s="10">
        <v>2335</v>
      </c>
      <c r="M28" s="10"/>
      <c r="N28" s="10"/>
      <c r="O28" s="10"/>
      <c r="P28" s="10">
        <v>3488</v>
      </c>
      <c r="Q28" s="10"/>
      <c r="R28" s="10"/>
      <c r="S28" s="10"/>
      <c r="T28" s="10">
        <v>4688</v>
      </c>
      <c r="U28" s="10"/>
      <c r="V28" s="10"/>
      <c r="W28" s="10"/>
      <c r="X28" s="10"/>
      <c r="Y28" s="10"/>
      <c r="Z28" s="10"/>
      <c r="AA28" s="10"/>
      <c r="AB28" s="10"/>
      <c r="AC28" s="10"/>
      <c r="AD28" s="10"/>
      <c r="AF28" s="5"/>
      <c r="AH28" s="122"/>
      <c r="AI28" s="122"/>
      <c r="AJ28" s="10">
        <v>1277</v>
      </c>
      <c r="AK28" s="10">
        <v>2678</v>
      </c>
      <c r="AL28" s="10" t="s">
        <v>103</v>
      </c>
      <c r="AM28" s="11">
        <v>1249</v>
      </c>
      <c r="AN28" s="12">
        <v>1456</v>
      </c>
      <c r="AO28" s="23">
        <v>3358</v>
      </c>
      <c r="AP28" s="19"/>
    </row>
    <row r="29" spans="1:42" ht="15" customHeight="1" x14ac:dyDescent="0.35">
      <c r="A29" s="9" t="s">
        <v>154</v>
      </c>
      <c r="B29" s="10" t="s">
        <v>155</v>
      </c>
      <c r="C29" s="10" t="s">
        <v>156</v>
      </c>
      <c r="D29" s="10"/>
      <c r="E29" s="10">
        <v>8999</v>
      </c>
      <c r="F29" s="10"/>
      <c r="G29" s="10">
        <v>1347</v>
      </c>
      <c r="H29" s="10">
        <v>1168</v>
      </c>
      <c r="I29" s="10"/>
      <c r="J29" s="10"/>
      <c r="K29" s="10">
        <v>2479</v>
      </c>
      <c r="L29" s="10">
        <v>2336</v>
      </c>
      <c r="M29" s="10"/>
      <c r="N29" s="10"/>
      <c r="O29" s="10"/>
      <c r="P29" s="10">
        <v>3499</v>
      </c>
      <c r="Q29" s="10"/>
      <c r="R29" s="10"/>
      <c r="S29" s="10"/>
      <c r="T29" s="10">
        <v>4699</v>
      </c>
      <c r="U29" s="10"/>
      <c r="V29" s="10"/>
      <c r="W29" s="10"/>
      <c r="X29" s="10"/>
      <c r="Y29" s="10"/>
      <c r="Z29" s="10"/>
      <c r="AA29" s="10"/>
      <c r="AB29" s="10"/>
      <c r="AC29" s="10"/>
      <c r="AD29" s="10"/>
      <c r="AM29" s="3" t="s">
        <v>160</v>
      </c>
    </row>
    <row r="30" spans="1:42" ht="15" customHeight="1" x14ac:dyDescent="0.35">
      <c r="A30" s="9" t="s">
        <v>157</v>
      </c>
      <c r="B30" s="10" t="s">
        <v>158</v>
      </c>
      <c r="C30" s="10" t="s">
        <v>159</v>
      </c>
      <c r="D30" s="10"/>
      <c r="E30" s="10"/>
      <c r="F30" s="10"/>
      <c r="G30" s="10">
        <v>1348</v>
      </c>
      <c r="H30" s="10">
        <v>1169</v>
      </c>
      <c r="I30" s="10"/>
      <c r="J30" s="10"/>
      <c r="K30" s="10">
        <v>2489</v>
      </c>
      <c r="L30" s="10">
        <v>2337</v>
      </c>
      <c r="M30" s="10"/>
      <c r="N30" s="10"/>
      <c r="O30" s="10"/>
      <c r="P30" s="10">
        <v>3556</v>
      </c>
      <c r="Q30" s="10"/>
      <c r="R30" s="10"/>
      <c r="S30" s="10"/>
      <c r="T30" s="10">
        <v>4778</v>
      </c>
      <c r="U30" s="10"/>
      <c r="V30" s="10"/>
      <c r="W30" s="10"/>
      <c r="X30" s="10"/>
      <c r="Y30" s="10"/>
      <c r="Z30" s="10"/>
      <c r="AA30" s="10"/>
      <c r="AB30" s="10"/>
      <c r="AC30" s="10"/>
      <c r="AD30" s="10"/>
    </row>
    <row r="31" spans="1:42" ht="15" customHeight="1" x14ac:dyDescent="0.35">
      <c r="A31" s="9" t="s">
        <v>161</v>
      </c>
      <c r="B31" s="10" t="s">
        <v>162</v>
      </c>
      <c r="C31" s="10" t="s">
        <v>163</v>
      </c>
      <c r="D31" s="10"/>
      <c r="E31" s="10"/>
      <c r="F31" s="10"/>
      <c r="G31" s="10">
        <v>1349</v>
      </c>
      <c r="H31" s="10">
        <v>1178</v>
      </c>
      <c r="I31" s="10"/>
      <c r="J31" s="10"/>
      <c r="K31" s="10">
        <v>2567</v>
      </c>
      <c r="L31" s="10">
        <v>2338</v>
      </c>
      <c r="M31" s="10"/>
      <c r="N31" s="10"/>
      <c r="O31" s="10"/>
      <c r="P31" s="10">
        <v>3557</v>
      </c>
      <c r="Q31" s="10"/>
      <c r="R31" s="10"/>
      <c r="S31" s="10"/>
      <c r="T31" s="10">
        <v>4779</v>
      </c>
      <c r="U31" s="10"/>
      <c r="V31" s="10"/>
      <c r="W31" s="10"/>
      <c r="X31" s="10"/>
      <c r="Y31" s="10"/>
      <c r="Z31" s="10"/>
      <c r="AA31" s="10"/>
      <c r="AB31" s="10"/>
      <c r="AC31" s="10"/>
      <c r="AD31" s="10"/>
      <c r="AI31" s="6" t="s">
        <v>31</v>
      </c>
      <c r="AJ31" s="13" t="s">
        <v>166</v>
      </c>
      <c r="AK31" s="3"/>
      <c r="AL31" s="3"/>
    </row>
    <row r="32" spans="1:42" ht="15" customHeight="1" x14ac:dyDescent="0.35">
      <c r="A32" s="9" t="s">
        <v>164</v>
      </c>
      <c r="B32" s="10" t="s">
        <v>153</v>
      </c>
      <c r="C32" s="10" t="s">
        <v>165</v>
      </c>
      <c r="D32" s="10"/>
      <c r="E32" s="10"/>
      <c r="F32" s="10"/>
      <c r="G32" s="10">
        <v>1356</v>
      </c>
      <c r="H32" s="10">
        <v>1179</v>
      </c>
      <c r="I32" s="10"/>
      <c r="J32" s="10"/>
      <c r="K32" s="10">
        <v>2568</v>
      </c>
      <c r="L32" s="10">
        <v>2339</v>
      </c>
      <c r="M32" s="10"/>
      <c r="N32" s="10"/>
      <c r="O32" s="10"/>
      <c r="P32" s="10">
        <v>3558</v>
      </c>
      <c r="Q32" s="10"/>
      <c r="R32" s="10"/>
      <c r="S32" s="10"/>
      <c r="T32" s="10">
        <v>4788</v>
      </c>
      <c r="U32" s="10"/>
      <c r="V32" s="10"/>
      <c r="W32" s="10"/>
      <c r="X32" s="10"/>
      <c r="Y32" s="10"/>
      <c r="Z32" s="10"/>
      <c r="AA32" s="10"/>
      <c r="AB32" s="10"/>
      <c r="AC32" s="10"/>
      <c r="AD32" s="10"/>
      <c r="AI32" s="6" t="s">
        <v>32</v>
      </c>
      <c r="AJ32" s="13" t="s">
        <v>170</v>
      </c>
      <c r="AK32" s="3"/>
      <c r="AL32" s="3"/>
    </row>
    <row r="33" spans="1:41" ht="15" customHeight="1" x14ac:dyDescent="0.35">
      <c r="A33" s="9" t="s">
        <v>167</v>
      </c>
      <c r="B33" s="10" t="s">
        <v>168</v>
      </c>
      <c r="C33" s="10" t="s">
        <v>169</v>
      </c>
      <c r="D33" s="10"/>
      <c r="E33" s="10"/>
      <c r="F33" s="10"/>
      <c r="G33" s="10">
        <v>1357</v>
      </c>
      <c r="H33" s="10">
        <v>1189</v>
      </c>
      <c r="I33" s="10"/>
      <c r="J33" s="10"/>
      <c r="K33" s="10">
        <v>2569</v>
      </c>
      <c r="L33" s="10">
        <v>2344</v>
      </c>
      <c r="M33" s="10"/>
      <c r="N33" s="10"/>
      <c r="O33" s="10"/>
      <c r="P33" s="10">
        <v>3559</v>
      </c>
      <c r="Q33" s="10"/>
      <c r="R33" s="10"/>
      <c r="S33" s="10"/>
      <c r="T33" s="10">
        <v>4799</v>
      </c>
      <c r="U33" s="10"/>
      <c r="V33" s="10"/>
      <c r="W33" s="10"/>
      <c r="X33" s="10"/>
      <c r="Y33" s="10"/>
      <c r="Z33" s="10"/>
      <c r="AA33" s="10"/>
      <c r="AB33" s="10"/>
      <c r="AC33" s="10"/>
      <c r="AD33" s="10"/>
      <c r="AI33" s="7" t="s">
        <v>33</v>
      </c>
      <c r="AJ33" s="13" t="s">
        <v>174</v>
      </c>
      <c r="AK33" s="3"/>
      <c r="AL33" s="3"/>
    </row>
    <row r="34" spans="1:41" ht="15" customHeight="1" x14ac:dyDescent="0.35">
      <c r="A34" s="9" t="s">
        <v>171</v>
      </c>
      <c r="B34" s="10" t="s">
        <v>172</v>
      </c>
      <c r="C34" s="10" t="s">
        <v>173</v>
      </c>
      <c r="D34" s="10"/>
      <c r="E34" s="10"/>
      <c r="F34" s="10"/>
      <c r="G34" s="10">
        <v>1358</v>
      </c>
      <c r="H34" s="10">
        <v>1223</v>
      </c>
      <c r="I34" s="10"/>
      <c r="J34" s="10"/>
      <c r="K34" s="10">
        <v>2578</v>
      </c>
      <c r="L34" s="10">
        <v>2355</v>
      </c>
      <c r="M34" s="10"/>
      <c r="N34" s="10"/>
      <c r="O34" s="10"/>
      <c r="P34" s="10">
        <v>3566</v>
      </c>
      <c r="Q34" s="10"/>
      <c r="R34" s="10"/>
      <c r="S34" s="10"/>
      <c r="T34" s="10">
        <v>4889</v>
      </c>
      <c r="U34" s="10"/>
      <c r="V34" s="10"/>
      <c r="W34" s="10"/>
      <c r="X34" s="10"/>
      <c r="Y34" s="10"/>
      <c r="Z34" s="10"/>
      <c r="AA34" s="10"/>
      <c r="AB34" s="10"/>
      <c r="AC34" s="10"/>
      <c r="AD34" s="10"/>
      <c r="AI34" s="7" t="s">
        <v>34</v>
      </c>
      <c r="AJ34" s="13" t="s">
        <v>178</v>
      </c>
      <c r="AK34" s="3"/>
      <c r="AL34" s="3"/>
    </row>
    <row r="35" spans="1:41" ht="15" customHeight="1" x14ac:dyDescent="0.35">
      <c r="A35" s="9" t="s">
        <v>175</v>
      </c>
      <c r="B35" s="10" t="s">
        <v>176</v>
      </c>
      <c r="C35" s="10" t="s">
        <v>177</v>
      </c>
      <c r="D35" s="10"/>
      <c r="E35" s="10"/>
      <c r="F35" s="10"/>
      <c r="G35" s="10">
        <v>1359</v>
      </c>
      <c r="H35" s="10">
        <v>1224</v>
      </c>
      <c r="I35" s="10"/>
      <c r="J35" s="10"/>
      <c r="K35" s="10">
        <v>2579</v>
      </c>
      <c r="L35" s="10">
        <v>2366</v>
      </c>
      <c r="M35" s="10"/>
      <c r="N35" s="10"/>
      <c r="O35" s="10"/>
      <c r="P35" s="10">
        <v>3577</v>
      </c>
      <c r="Q35" s="10"/>
      <c r="R35" s="10"/>
      <c r="S35" s="10"/>
      <c r="T35" s="10">
        <v>4899</v>
      </c>
      <c r="U35" s="10"/>
      <c r="V35" s="10"/>
      <c r="W35" s="10"/>
      <c r="X35" s="10"/>
      <c r="Y35" s="10"/>
      <c r="Z35" s="10"/>
      <c r="AA35" s="10"/>
      <c r="AB35" s="10"/>
      <c r="AC35" s="10"/>
      <c r="AD35" s="10"/>
      <c r="AI35" s="7" t="s">
        <v>35</v>
      </c>
      <c r="AJ35" s="13" t="s">
        <v>182</v>
      </c>
      <c r="AK35" s="3"/>
      <c r="AL35" s="3"/>
    </row>
    <row r="36" spans="1:41" ht="15" customHeight="1" x14ac:dyDescent="0.35">
      <c r="A36" s="9" t="s">
        <v>179</v>
      </c>
      <c r="B36" s="10" t="s">
        <v>180</v>
      </c>
      <c r="C36" s="10" t="s">
        <v>181</v>
      </c>
      <c r="D36" s="10"/>
      <c r="E36" s="10"/>
      <c r="F36" s="10"/>
      <c r="G36" s="10">
        <v>1366</v>
      </c>
      <c r="H36" s="10">
        <v>1225</v>
      </c>
      <c r="I36" s="10"/>
      <c r="J36" s="10"/>
      <c r="K36" s="10">
        <v>2589</v>
      </c>
      <c r="L36" s="10">
        <v>2377</v>
      </c>
      <c r="M36" s="10"/>
      <c r="N36" s="10"/>
      <c r="O36" s="10"/>
      <c r="P36" s="10">
        <v>3588</v>
      </c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</row>
    <row r="37" spans="1:41" ht="29" customHeight="1" x14ac:dyDescent="0.35">
      <c r="A37" s="9" t="s">
        <v>183</v>
      </c>
      <c r="B37" s="10" t="s">
        <v>184</v>
      </c>
      <c r="C37" s="10" t="s">
        <v>185</v>
      </c>
      <c r="D37" s="10"/>
      <c r="E37" s="10"/>
      <c r="F37" s="10"/>
      <c r="G37" s="10">
        <v>1367</v>
      </c>
      <c r="H37" s="10">
        <v>1226</v>
      </c>
      <c r="I37" s="10"/>
      <c r="J37" s="10"/>
      <c r="K37" s="10">
        <v>2678</v>
      </c>
      <c r="L37" s="10">
        <v>2388</v>
      </c>
      <c r="M37" s="10"/>
      <c r="N37" s="10"/>
      <c r="O37" s="10"/>
      <c r="P37" s="10">
        <v>3599</v>
      </c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</row>
    <row r="38" spans="1:41" ht="15" customHeight="1" x14ac:dyDescent="0.35">
      <c r="A38" s="9" t="s">
        <v>186</v>
      </c>
      <c r="B38" s="10" t="s">
        <v>187</v>
      </c>
      <c r="C38" s="10" t="s">
        <v>188</v>
      </c>
      <c r="D38" s="10"/>
      <c r="E38" s="10"/>
      <c r="F38" s="10"/>
      <c r="G38" s="10">
        <v>1368</v>
      </c>
      <c r="H38" s="10">
        <v>1227</v>
      </c>
      <c r="I38" s="10"/>
      <c r="J38" s="10"/>
      <c r="K38" s="10">
        <v>2679</v>
      </c>
      <c r="L38" s="10">
        <v>2399</v>
      </c>
      <c r="M38" s="10"/>
      <c r="N38" s="10"/>
      <c r="O38" s="10"/>
      <c r="P38" s="10">
        <v>3667</v>
      </c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H38" s="134" t="s">
        <v>427</v>
      </c>
      <c r="AI38" s="134"/>
      <c r="AJ38" s="134"/>
      <c r="AK38" s="134"/>
      <c r="AL38" s="134"/>
      <c r="AM38" s="134"/>
      <c r="AN38" s="134"/>
      <c r="AO38" s="134"/>
    </row>
    <row r="39" spans="1:41" ht="25.5" customHeight="1" x14ac:dyDescent="0.35">
      <c r="A39" s="9" t="s">
        <v>189</v>
      </c>
      <c r="B39" s="10" t="s">
        <v>190</v>
      </c>
      <c r="C39" s="10" t="s">
        <v>191</v>
      </c>
      <c r="D39" s="10"/>
      <c r="E39" s="10"/>
      <c r="F39" s="10"/>
      <c r="G39" s="10">
        <v>1369</v>
      </c>
      <c r="H39" s="10">
        <v>1228</v>
      </c>
      <c r="I39" s="10"/>
      <c r="J39" s="10"/>
      <c r="K39" s="10">
        <v>2689</v>
      </c>
      <c r="L39" s="10">
        <v>2445</v>
      </c>
      <c r="M39" s="10"/>
      <c r="N39" s="10"/>
      <c r="O39" s="10"/>
      <c r="P39" s="10">
        <v>3668</v>
      </c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H39" s="30"/>
      <c r="AI39" s="30"/>
      <c r="AJ39" s="18" t="s">
        <v>43</v>
      </c>
      <c r="AK39" s="18" t="s">
        <v>44</v>
      </c>
      <c r="AL39" s="18" t="s">
        <v>45</v>
      </c>
      <c r="AM39" s="11" t="s">
        <v>46</v>
      </c>
      <c r="AN39" s="11" t="s">
        <v>425</v>
      </c>
      <c r="AO39" s="37" t="s">
        <v>431</v>
      </c>
    </row>
    <row r="40" spans="1:41" ht="15" customHeight="1" x14ac:dyDescent="0.35">
      <c r="A40" s="9" t="s">
        <v>192</v>
      </c>
      <c r="B40" s="10" t="s">
        <v>143</v>
      </c>
      <c r="C40" s="10" t="s">
        <v>193</v>
      </c>
      <c r="D40" s="10"/>
      <c r="E40" s="10"/>
      <c r="F40" s="10"/>
      <c r="G40" s="10">
        <v>1378</v>
      </c>
      <c r="H40" s="10">
        <v>1229</v>
      </c>
      <c r="I40" s="10"/>
      <c r="J40" s="10"/>
      <c r="K40" s="10">
        <v>2789</v>
      </c>
      <c r="L40" s="10">
        <v>2446</v>
      </c>
      <c r="M40" s="10"/>
      <c r="N40" s="10"/>
      <c r="O40" s="10"/>
      <c r="P40" s="10">
        <v>3669</v>
      </c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H40" s="18" t="s">
        <v>53</v>
      </c>
      <c r="AI40" s="18" t="b">
        <v>0</v>
      </c>
      <c r="AJ40" s="18">
        <v>1446</v>
      </c>
      <c r="AK40" s="18">
        <v>3679</v>
      </c>
      <c r="AL40" s="18">
        <v>4566</v>
      </c>
      <c r="AM40" s="11" t="s">
        <v>298</v>
      </c>
      <c r="AN40" s="11">
        <v>3455</v>
      </c>
      <c r="AO40" s="23">
        <f t="shared" ref="AO40:AO62" si="0">COUNTIF(AJ$40:AM$62,AN40)</f>
        <v>0</v>
      </c>
    </row>
    <row r="41" spans="1:41" ht="15" customHeight="1" x14ac:dyDescent="0.35">
      <c r="A41" s="9" t="s">
        <v>194</v>
      </c>
      <c r="B41" s="10" t="s">
        <v>195</v>
      </c>
      <c r="C41" s="10" t="s">
        <v>196</v>
      </c>
      <c r="D41" s="10"/>
      <c r="E41" s="10"/>
      <c r="F41" s="10"/>
      <c r="G41" s="10">
        <v>1379</v>
      </c>
      <c r="H41" s="10">
        <v>1233</v>
      </c>
      <c r="I41" s="10"/>
      <c r="J41" s="10"/>
      <c r="K41" s="10"/>
      <c r="L41" s="10">
        <v>2447</v>
      </c>
      <c r="M41" s="10"/>
      <c r="N41" s="10"/>
      <c r="O41" s="10"/>
      <c r="P41" s="10">
        <v>3677</v>
      </c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H41" s="18"/>
      <c r="AI41" s="18"/>
      <c r="AJ41" s="18">
        <v>2556</v>
      </c>
      <c r="AK41" s="18">
        <v>1237</v>
      </c>
      <c r="AL41" s="18">
        <v>1388</v>
      </c>
      <c r="AM41" s="11">
        <v>2449</v>
      </c>
      <c r="AN41" s="11">
        <v>4678</v>
      </c>
      <c r="AO41" s="23">
        <f t="shared" si="0"/>
        <v>0</v>
      </c>
    </row>
    <row r="42" spans="1:41" ht="15" customHeight="1" x14ac:dyDescent="0.35">
      <c r="A42" s="9" t="s">
        <v>197</v>
      </c>
      <c r="B42" s="10" t="s">
        <v>198</v>
      </c>
      <c r="C42" s="10" t="s">
        <v>199</v>
      </c>
      <c r="D42" s="10"/>
      <c r="E42" s="10"/>
      <c r="F42" s="10"/>
      <c r="G42" s="10">
        <v>1389</v>
      </c>
      <c r="H42" s="10">
        <v>1244</v>
      </c>
      <c r="I42" s="10"/>
      <c r="J42" s="10"/>
      <c r="K42" s="10"/>
      <c r="L42" s="10">
        <v>2448</v>
      </c>
      <c r="M42" s="10"/>
      <c r="N42" s="10"/>
      <c r="O42" s="10"/>
      <c r="P42" s="10">
        <v>3688</v>
      </c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H42" s="18"/>
      <c r="AI42" s="18"/>
      <c r="AJ42" s="18">
        <v>2248</v>
      </c>
      <c r="AK42" s="18" t="s">
        <v>64</v>
      </c>
      <c r="AL42" s="18" t="s">
        <v>49</v>
      </c>
      <c r="AM42" s="11" t="s">
        <v>119</v>
      </c>
      <c r="AN42" s="11" t="s">
        <v>274</v>
      </c>
      <c r="AO42" s="23">
        <f t="shared" si="0"/>
        <v>0</v>
      </c>
    </row>
    <row r="43" spans="1:41" ht="15" customHeight="1" x14ac:dyDescent="0.35">
      <c r="A43" s="9" t="s">
        <v>200</v>
      </c>
      <c r="B43" s="10" t="s">
        <v>201</v>
      </c>
      <c r="C43" s="10" t="s">
        <v>202</v>
      </c>
      <c r="D43" s="10"/>
      <c r="E43" s="10"/>
      <c r="F43" s="10"/>
      <c r="G43" s="10">
        <v>1456</v>
      </c>
      <c r="H43" s="10">
        <v>1255</v>
      </c>
      <c r="I43" s="10"/>
      <c r="J43" s="10"/>
      <c r="K43" s="10"/>
      <c r="L43" s="10">
        <v>2449</v>
      </c>
      <c r="M43" s="10"/>
      <c r="N43" s="10"/>
      <c r="O43" s="10"/>
      <c r="P43" s="10">
        <v>3699</v>
      </c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H43" s="18" t="s">
        <v>70</v>
      </c>
      <c r="AI43" s="18" t="b">
        <v>0</v>
      </c>
      <c r="AJ43" s="18">
        <v>5699</v>
      </c>
      <c r="AK43" s="18">
        <v>1137</v>
      </c>
      <c r="AL43" s="18" t="s">
        <v>71</v>
      </c>
      <c r="AM43" s="11">
        <v>1237</v>
      </c>
      <c r="AN43" s="11">
        <v>4578</v>
      </c>
      <c r="AO43" s="23">
        <f t="shared" si="0"/>
        <v>0</v>
      </c>
    </row>
    <row r="44" spans="1:41" ht="15" customHeight="1" x14ac:dyDescent="0.35">
      <c r="A44" s="9" t="s">
        <v>203</v>
      </c>
      <c r="B44" s="10" t="s">
        <v>103</v>
      </c>
      <c r="C44" s="10" t="s">
        <v>204</v>
      </c>
      <c r="D44" s="10"/>
      <c r="E44" s="10"/>
      <c r="F44" s="10"/>
      <c r="G44" s="10">
        <v>1457</v>
      </c>
      <c r="H44" s="10">
        <v>1266</v>
      </c>
      <c r="I44" s="10"/>
      <c r="J44" s="10"/>
      <c r="K44" s="10"/>
      <c r="L44" s="10">
        <v>2455</v>
      </c>
      <c r="M44" s="10"/>
      <c r="N44" s="10"/>
      <c r="O44" s="10"/>
      <c r="P44" s="10">
        <v>3778</v>
      </c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H44" s="18"/>
      <c r="AI44" s="18"/>
      <c r="AJ44" s="35">
        <v>2356</v>
      </c>
      <c r="AK44" s="18">
        <v>2446</v>
      </c>
      <c r="AL44" s="18">
        <v>1248</v>
      </c>
      <c r="AM44" s="11" t="s">
        <v>176</v>
      </c>
      <c r="AN44" s="11">
        <v>1447</v>
      </c>
      <c r="AO44" s="23">
        <f t="shared" si="0"/>
        <v>0</v>
      </c>
    </row>
    <row r="45" spans="1:41" ht="15" customHeight="1" x14ac:dyDescent="0.35">
      <c r="A45" s="9" t="s">
        <v>205</v>
      </c>
      <c r="B45" s="10" t="s">
        <v>206</v>
      </c>
      <c r="C45" s="10" t="s">
        <v>207</v>
      </c>
      <c r="D45" s="10"/>
      <c r="E45" s="10"/>
      <c r="F45" s="10"/>
      <c r="G45" s="10">
        <v>1458</v>
      </c>
      <c r="H45" s="10">
        <v>1277</v>
      </c>
      <c r="I45" s="10"/>
      <c r="J45" s="10"/>
      <c r="K45" s="10"/>
      <c r="L45" s="10">
        <v>2466</v>
      </c>
      <c r="M45" s="10"/>
      <c r="N45" s="10"/>
      <c r="O45" s="10"/>
      <c r="P45" s="10">
        <v>3779</v>
      </c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H45" s="18"/>
      <c r="AI45" s="18"/>
      <c r="AJ45" s="18">
        <v>3679</v>
      </c>
      <c r="AK45" s="18">
        <v>1339</v>
      </c>
      <c r="AL45" s="18" t="s">
        <v>38</v>
      </c>
      <c r="AM45" s="11">
        <v>1337</v>
      </c>
      <c r="AN45" s="11">
        <v>3577</v>
      </c>
      <c r="AO45" s="23">
        <f t="shared" si="0"/>
        <v>0</v>
      </c>
    </row>
    <row r="46" spans="1:41" ht="15" customHeight="1" x14ac:dyDescent="0.35">
      <c r="A46" s="9" t="s">
        <v>208</v>
      </c>
      <c r="B46" s="10" t="s">
        <v>209</v>
      </c>
      <c r="C46" s="10" t="s">
        <v>210</v>
      </c>
      <c r="D46" s="10"/>
      <c r="E46" s="10"/>
      <c r="F46" s="10"/>
      <c r="G46" s="10">
        <v>1459</v>
      </c>
      <c r="H46" s="10">
        <v>1288</v>
      </c>
      <c r="I46" s="10"/>
      <c r="J46" s="10"/>
      <c r="K46" s="10"/>
      <c r="L46" s="10">
        <v>2477</v>
      </c>
      <c r="M46" s="10"/>
      <c r="N46" s="10"/>
      <c r="O46" s="10"/>
      <c r="P46" s="10">
        <v>3788</v>
      </c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H46" s="18"/>
      <c r="AI46" s="18"/>
      <c r="AJ46" s="18" t="s">
        <v>51</v>
      </c>
      <c r="AK46" s="18">
        <v>3667</v>
      </c>
      <c r="AL46" s="18">
        <v>5588</v>
      </c>
      <c r="AM46" s="11">
        <v>1489</v>
      </c>
      <c r="AN46" s="11">
        <v>1238</v>
      </c>
      <c r="AO46" s="23">
        <f t="shared" si="0"/>
        <v>0</v>
      </c>
    </row>
    <row r="47" spans="1:41" ht="15" customHeight="1" x14ac:dyDescent="0.35">
      <c r="A47" s="9" t="s">
        <v>211</v>
      </c>
      <c r="B47" s="10" t="s">
        <v>212</v>
      </c>
      <c r="C47" s="10" t="s">
        <v>213</v>
      </c>
      <c r="D47" s="10"/>
      <c r="E47" s="10"/>
      <c r="F47" s="10"/>
      <c r="G47" s="10">
        <v>1467</v>
      </c>
      <c r="H47" s="10">
        <v>1299</v>
      </c>
      <c r="I47" s="10"/>
      <c r="J47" s="10"/>
      <c r="K47" s="10"/>
      <c r="L47" s="10">
        <v>2488</v>
      </c>
      <c r="M47" s="10"/>
      <c r="N47" s="10"/>
      <c r="O47" s="10"/>
      <c r="P47" s="10">
        <v>3799</v>
      </c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H47" s="18"/>
      <c r="AI47" s="18"/>
      <c r="AJ47" s="18">
        <v>1445</v>
      </c>
      <c r="AK47" s="18">
        <v>2568</v>
      </c>
      <c r="AL47" s="18">
        <v>6678</v>
      </c>
      <c r="AM47" s="11">
        <v>2349</v>
      </c>
      <c r="AN47" s="11">
        <v>2456</v>
      </c>
      <c r="AO47" s="23">
        <f t="shared" si="0"/>
        <v>0</v>
      </c>
    </row>
    <row r="48" spans="1:41" ht="15" customHeight="1" x14ac:dyDescent="0.35">
      <c r="A48" s="9" t="s">
        <v>214</v>
      </c>
      <c r="B48" s="10" t="s">
        <v>215</v>
      </c>
      <c r="C48" s="10" t="s">
        <v>102</v>
      </c>
      <c r="D48" s="10"/>
      <c r="E48" s="10"/>
      <c r="F48" s="10"/>
      <c r="G48" s="10">
        <v>1468</v>
      </c>
      <c r="H48" s="10">
        <v>1334</v>
      </c>
      <c r="I48" s="10"/>
      <c r="J48" s="10"/>
      <c r="K48" s="10"/>
      <c r="L48" s="10">
        <v>2499</v>
      </c>
      <c r="M48" s="10"/>
      <c r="N48" s="10"/>
      <c r="O48" s="10"/>
      <c r="P48" s="10">
        <v>3889</v>
      </c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H48" s="18"/>
      <c r="AI48" s="18"/>
      <c r="AJ48" s="18" t="s">
        <v>96</v>
      </c>
      <c r="AK48" s="18">
        <v>1344</v>
      </c>
      <c r="AL48" s="18" t="s">
        <v>97</v>
      </c>
      <c r="AM48" s="11">
        <v>2589</v>
      </c>
      <c r="AN48" s="11">
        <v>5789</v>
      </c>
      <c r="AO48" s="23">
        <f t="shared" si="0"/>
        <v>0</v>
      </c>
    </row>
    <row r="49" spans="1:41" ht="15" customHeight="1" x14ac:dyDescent="0.35">
      <c r="A49" s="9" t="s">
        <v>216</v>
      </c>
      <c r="B49" s="10" t="s">
        <v>217</v>
      </c>
      <c r="C49" s="10" t="s">
        <v>218</v>
      </c>
      <c r="D49" s="10"/>
      <c r="E49" s="10"/>
      <c r="F49" s="10"/>
      <c r="G49" s="10">
        <v>1469</v>
      </c>
      <c r="H49" s="10">
        <v>1335</v>
      </c>
      <c r="I49" s="10"/>
      <c r="J49" s="10"/>
      <c r="K49" s="10"/>
      <c r="L49" s="10">
        <v>2556</v>
      </c>
      <c r="M49" s="10"/>
      <c r="N49" s="10"/>
      <c r="O49" s="10"/>
      <c r="P49" s="10">
        <v>3899</v>
      </c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H49" s="18"/>
      <c r="AI49" s="18"/>
      <c r="AJ49" s="18" t="s">
        <v>102</v>
      </c>
      <c r="AK49" s="18">
        <v>2337</v>
      </c>
      <c r="AL49" s="18">
        <v>6667</v>
      </c>
      <c r="AM49" s="11" t="s">
        <v>332</v>
      </c>
      <c r="AN49" s="11" t="s">
        <v>307</v>
      </c>
      <c r="AO49" s="23">
        <f t="shared" si="0"/>
        <v>0</v>
      </c>
    </row>
    <row r="50" spans="1:41" ht="15" customHeight="1" x14ac:dyDescent="0.35">
      <c r="A50" s="9" t="s">
        <v>219</v>
      </c>
      <c r="B50" s="10" t="s">
        <v>96</v>
      </c>
      <c r="C50" s="10" t="s">
        <v>220</v>
      </c>
      <c r="D50" s="10"/>
      <c r="E50" s="10"/>
      <c r="F50" s="10"/>
      <c r="G50" s="10">
        <v>1478</v>
      </c>
      <c r="H50" s="10">
        <v>1336</v>
      </c>
      <c r="I50" s="10"/>
      <c r="J50" s="10"/>
      <c r="K50" s="10"/>
      <c r="L50" s="10">
        <v>2557</v>
      </c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H50" s="18"/>
      <c r="AI50" s="18"/>
      <c r="AJ50" s="18" t="s">
        <v>108</v>
      </c>
      <c r="AK50" s="18">
        <v>2489</v>
      </c>
      <c r="AL50" s="18" t="s">
        <v>109</v>
      </c>
      <c r="AM50" s="11" t="s">
        <v>78</v>
      </c>
      <c r="AN50" s="11" t="s">
        <v>195</v>
      </c>
      <c r="AO50" s="23">
        <f t="shared" si="0"/>
        <v>0</v>
      </c>
    </row>
    <row r="51" spans="1:41" ht="15" customHeight="1" x14ac:dyDescent="0.35">
      <c r="A51" s="9" t="s">
        <v>221</v>
      </c>
      <c r="B51" s="10" t="s">
        <v>222</v>
      </c>
      <c r="C51" s="10" t="s">
        <v>223</v>
      </c>
      <c r="D51" s="10"/>
      <c r="E51" s="10"/>
      <c r="F51" s="10"/>
      <c r="G51" s="10">
        <v>1479</v>
      </c>
      <c r="H51" s="10">
        <v>1337</v>
      </c>
      <c r="I51" s="10"/>
      <c r="J51" s="10"/>
      <c r="K51" s="10"/>
      <c r="L51" s="10">
        <v>2558</v>
      </c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H51" s="18"/>
      <c r="AI51" s="18"/>
      <c r="AJ51" s="18">
        <v>1347</v>
      </c>
      <c r="AK51" s="18">
        <v>1668</v>
      </c>
      <c r="AL51" s="18" t="s">
        <v>113</v>
      </c>
      <c r="AM51" s="25" t="s">
        <v>215</v>
      </c>
      <c r="AN51" s="11">
        <v>1488</v>
      </c>
      <c r="AO51" s="23">
        <f t="shared" si="0"/>
        <v>0</v>
      </c>
    </row>
    <row r="52" spans="1:41" ht="15" customHeight="1" x14ac:dyDescent="0.35">
      <c r="A52" s="9" t="s">
        <v>224</v>
      </c>
      <c r="B52" s="10" t="s">
        <v>225</v>
      </c>
      <c r="C52" s="10" t="s">
        <v>109</v>
      </c>
      <c r="D52" s="10"/>
      <c r="E52" s="10"/>
      <c r="F52" s="10"/>
      <c r="G52" s="10">
        <v>1489</v>
      </c>
      <c r="H52" s="10">
        <v>1338</v>
      </c>
      <c r="I52" s="10"/>
      <c r="J52" s="10"/>
      <c r="K52" s="10"/>
      <c r="L52" s="10">
        <v>2559</v>
      </c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H52" s="18"/>
      <c r="AI52" s="18"/>
      <c r="AJ52" s="18">
        <v>5689</v>
      </c>
      <c r="AK52" s="18">
        <v>1367</v>
      </c>
      <c r="AL52" s="18">
        <v>1356</v>
      </c>
      <c r="AM52" s="11" t="s">
        <v>151</v>
      </c>
      <c r="AN52" s="11">
        <v>2378</v>
      </c>
      <c r="AO52" s="23">
        <f t="shared" si="0"/>
        <v>0</v>
      </c>
    </row>
    <row r="53" spans="1:41" ht="15" customHeight="1" x14ac:dyDescent="0.35">
      <c r="A53" s="9" t="s">
        <v>226</v>
      </c>
      <c r="B53" s="10" t="s">
        <v>227</v>
      </c>
      <c r="C53" s="10" t="s">
        <v>228</v>
      </c>
      <c r="D53" s="10"/>
      <c r="E53" s="10"/>
      <c r="F53" s="10"/>
      <c r="G53" s="10">
        <v>1567</v>
      </c>
      <c r="H53" s="10">
        <v>1339</v>
      </c>
      <c r="I53" s="10"/>
      <c r="J53" s="10"/>
      <c r="K53" s="10"/>
      <c r="L53" s="10">
        <v>2566</v>
      </c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H53" s="18" t="s">
        <v>122</v>
      </c>
      <c r="AI53" s="18" t="b">
        <v>0</v>
      </c>
      <c r="AJ53" s="18">
        <v>1679</v>
      </c>
      <c r="AK53" s="18" t="s">
        <v>49</v>
      </c>
      <c r="AL53" s="35">
        <v>2356</v>
      </c>
      <c r="AM53" s="11">
        <v>3579</v>
      </c>
      <c r="AN53" s="25" t="s">
        <v>215</v>
      </c>
      <c r="AO53" s="23">
        <f t="shared" si="0"/>
        <v>1</v>
      </c>
    </row>
    <row r="54" spans="1:41" ht="15" customHeight="1" x14ac:dyDescent="0.35">
      <c r="A54" s="9" t="s">
        <v>229</v>
      </c>
      <c r="B54" s="10" t="s">
        <v>230</v>
      </c>
      <c r="C54" s="10" t="s">
        <v>231</v>
      </c>
      <c r="D54" s="10"/>
      <c r="E54" s="10"/>
      <c r="F54" s="10"/>
      <c r="G54" s="10">
        <v>1568</v>
      </c>
      <c r="H54" s="10">
        <v>1344</v>
      </c>
      <c r="I54" s="10"/>
      <c r="J54" s="10"/>
      <c r="K54" s="10"/>
      <c r="L54" s="10">
        <v>2577</v>
      </c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H54" s="18"/>
      <c r="AI54" s="18"/>
      <c r="AJ54" s="18">
        <v>5578</v>
      </c>
      <c r="AK54" s="18">
        <v>1356</v>
      </c>
      <c r="AL54" s="18">
        <v>1355</v>
      </c>
      <c r="AM54" s="11">
        <v>1377</v>
      </c>
      <c r="AN54" s="11">
        <v>3467</v>
      </c>
      <c r="AO54" s="23">
        <f t="shared" si="0"/>
        <v>0</v>
      </c>
    </row>
    <row r="55" spans="1:41" ht="15" customHeight="1" x14ac:dyDescent="0.35">
      <c r="A55" s="9" t="s">
        <v>232</v>
      </c>
      <c r="B55" s="10" t="s">
        <v>233</v>
      </c>
      <c r="C55" s="10" t="s">
        <v>113</v>
      </c>
      <c r="D55" s="10"/>
      <c r="E55" s="10"/>
      <c r="F55" s="10"/>
      <c r="G55" s="10">
        <v>1569</v>
      </c>
      <c r="H55" s="10">
        <v>1355</v>
      </c>
      <c r="I55" s="10"/>
      <c r="J55" s="10"/>
      <c r="K55" s="10"/>
      <c r="L55" s="10">
        <v>2588</v>
      </c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H55" s="18"/>
      <c r="AI55" s="18"/>
      <c r="AJ55" s="18">
        <v>1344</v>
      </c>
      <c r="AK55" s="18" t="s">
        <v>94</v>
      </c>
      <c r="AL55" s="18" t="s">
        <v>106</v>
      </c>
      <c r="AM55" s="11" t="s">
        <v>116</v>
      </c>
      <c r="AN55" s="11">
        <v>4469</v>
      </c>
      <c r="AO55" s="23">
        <f t="shared" si="0"/>
        <v>0</v>
      </c>
    </row>
    <row r="56" spans="1:41" ht="15" customHeight="1" x14ac:dyDescent="0.35">
      <c r="A56" s="9" t="s">
        <v>234</v>
      </c>
      <c r="B56" s="10" t="s">
        <v>235</v>
      </c>
      <c r="C56" s="10" t="s">
        <v>236</v>
      </c>
      <c r="D56" s="10"/>
      <c r="E56" s="10"/>
      <c r="F56" s="10"/>
      <c r="G56" s="10">
        <v>1577</v>
      </c>
      <c r="H56" s="10">
        <v>1377</v>
      </c>
      <c r="I56" s="10"/>
      <c r="J56" s="10"/>
      <c r="K56" s="10"/>
      <c r="L56" s="10">
        <v>2599</v>
      </c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H56" s="18"/>
      <c r="AI56" s="18"/>
      <c r="AJ56" s="18">
        <v>1457</v>
      </c>
      <c r="AK56" s="35" t="s">
        <v>135</v>
      </c>
      <c r="AL56" s="18">
        <v>3599</v>
      </c>
      <c r="AM56" s="11">
        <v>1167</v>
      </c>
      <c r="AN56" s="25" t="s">
        <v>88</v>
      </c>
      <c r="AO56" s="23">
        <f t="shared" si="0"/>
        <v>1</v>
      </c>
    </row>
    <row r="57" spans="1:41" ht="15" customHeight="1" x14ac:dyDescent="0.35">
      <c r="A57" s="9" t="s">
        <v>237</v>
      </c>
      <c r="B57" s="10" t="s">
        <v>238</v>
      </c>
      <c r="C57" s="10" t="s">
        <v>239</v>
      </c>
      <c r="D57" s="10"/>
      <c r="E57" s="10"/>
      <c r="F57" s="10"/>
      <c r="G57" s="10">
        <v>1578</v>
      </c>
      <c r="H57" s="10">
        <v>1388</v>
      </c>
      <c r="I57" s="10"/>
      <c r="J57" s="10"/>
      <c r="K57" s="10"/>
      <c r="L57" s="10">
        <v>2667</v>
      </c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H57" s="18"/>
      <c r="AI57" s="18"/>
      <c r="AJ57" s="18">
        <v>3568</v>
      </c>
      <c r="AK57" s="18" t="s">
        <v>95</v>
      </c>
      <c r="AL57" s="18" t="s">
        <v>139</v>
      </c>
      <c r="AM57" s="11">
        <v>4558</v>
      </c>
      <c r="AN57" s="25" t="s">
        <v>135</v>
      </c>
      <c r="AO57" s="23">
        <f t="shared" si="0"/>
        <v>1</v>
      </c>
    </row>
    <row r="58" spans="1:41" ht="15" customHeight="1" x14ac:dyDescent="0.35">
      <c r="A58" s="9" t="s">
        <v>240</v>
      </c>
      <c r="B58" s="10" t="s">
        <v>241</v>
      </c>
      <c r="C58" s="10" t="s">
        <v>242</v>
      </c>
      <c r="D58" s="10"/>
      <c r="E58" s="10"/>
      <c r="F58" s="10"/>
      <c r="G58" s="10">
        <v>1579</v>
      </c>
      <c r="H58" s="10">
        <v>1399</v>
      </c>
      <c r="I58" s="10"/>
      <c r="J58" s="10"/>
      <c r="K58" s="10"/>
      <c r="L58" s="10">
        <v>2668</v>
      </c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H58" s="18"/>
      <c r="AI58" s="18"/>
      <c r="AJ58" s="18">
        <v>1137</v>
      </c>
      <c r="AK58" s="18">
        <v>1589</v>
      </c>
      <c r="AL58" s="18" t="s">
        <v>143</v>
      </c>
      <c r="AM58" s="11">
        <v>6689</v>
      </c>
      <c r="AN58" s="25">
        <v>2356</v>
      </c>
      <c r="AO58" s="23">
        <f t="shared" si="0"/>
        <v>2</v>
      </c>
    </row>
    <row r="59" spans="1:41" ht="15" customHeight="1" x14ac:dyDescent="0.35">
      <c r="A59" s="9" t="s">
        <v>243</v>
      </c>
      <c r="B59" s="10" t="s">
        <v>244</v>
      </c>
      <c r="C59" s="10" t="s">
        <v>245</v>
      </c>
      <c r="D59" s="10"/>
      <c r="E59" s="10"/>
      <c r="F59" s="10"/>
      <c r="G59" s="10">
        <v>1589</v>
      </c>
      <c r="H59" s="10">
        <v>1445</v>
      </c>
      <c r="I59" s="10"/>
      <c r="J59" s="10"/>
      <c r="K59" s="10"/>
      <c r="L59" s="10">
        <v>2669</v>
      </c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H59" s="18"/>
      <c r="AI59" s="18"/>
      <c r="AJ59" s="18">
        <v>1335</v>
      </c>
      <c r="AK59" s="18">
        <v>1335</v>
      </c>
      <c r="AL59" s="18">
        <v>1456</v>
      </c>
      <c r="AM59" s="11" t="s">
        <v>201</v>
      </c>
      <c r="AN59" s="11">
        <v>2355</v>
      </c>
      <c r="AO59" s="23">
        <f t="shared" si="0"/>
        <v>0</v>
      </c>
    </row>
    <row r="60" spans="1:41" ht="15" customHeight="1" x14ac:dyDescent="0.35">
      <c r="A60" s="9" t="s">
        <v>246</v>
      </c>
      <c r="B60" s="10" t="s">
        <v>247</v>
      </c>
      <c r="C60" s="10" t="s">
        <v>248</v>
      </c>
      <c r="D60" s="10"/>
      <c r="E60" s="10"/>
      <c r="F60" s="10"/>
      <c r="G60" s="10">
        <v>1678</v>
      </c>
      <c r="H60" s="10">
        <v>1446</v>
      </c>
      <c r="I60" s="10"/>
      <c r="J60" s="10"/>
      <c r="K60" s="10"/>
      <c r="L60" s="10">
        <v>2677</v>
      </c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H60" s="18"/>
      <c r="AI60" s="18"/>
      <c r="AJ60" s="18" t="s">
        <v>149</v>
      </c>
      <c r="AK60" s="18">
        <v>1246</v>
      </c>
      <c r="AL60" s="18">
        <v>2448</v>
      </c>
      <c r="AM60" s="11" t="s">
        <v>261</v>
      </c>
      <c r="AN60" s="11" t="s">
        <v>314</v>
      </c>
      <c r="AO60" s="23">
        <f t="shared" si="0"/>
        <v>0</v>
      </c>
    </row>
    <row r="61" spans="1:41" ht="15" customHeight="1" x14ac:dyDescent="0.35">
      <c r="A61" s="9" t="s">
        <v>249</v>
      </c>
      <c r="B61" s="10" t="s">
        <v>250</v>
      </c>
      <c r="C61" s="10" t="s">
        <v>251</v>
      </c>
      <c r="D61" s="10"/>
      <c r="E61" s="10"/>
      <c r="F61" s="10"/>
      <c r="G61" s="10">
        <v>1679</v>
      </c>
      <c r="H61" s="10">
        <v>1447</v>
      </c>
      <c r="I61" s="10"/>
      <c r="J61" s="10"/>
      <c r="K61" s="10"/>
      <c r="L61" s="10">
        <v>2688</v>
      </c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H61" s="18"/>
      <c r="AI61" s="18"/>
      <c r="AJ61" s="18">
        <v>1148</v>
      </c>
      <c r="AK61" s="18" t="s">
        <v>153</v>
      </c>
      <c r="AL61" s="18">
        <v>3668</v>
      </c>
      <c r="AM61" s="25" t="s">
        <v>88</v>
      </c>
      <c r="AN61" s="11">
        <v>1378</v>
      </c>
      <c r="AO61" s="23">
        <f t="shared" si="0"/>
        <v>0</v>
      </c>
    </row>
    <row r="62" spans="1:41" ht="15" customHeight="1" x14ac:dyDescent="0.35">
      <c r="A62" s="9" t="s">
        <v>252</v>
      </c>
      <c r="B62" s="10" t="s">
        <v>253</v>
      </c>
      <c r="C62" s="10" t="s">
        <v>254</v>
      </c>
      <c r="D62" s="10"/>
      <c r="E62" s="10"/>
      <c r="F62" s="10"/>
      <c r="G62" s="10">
        <v>1689</v>
      </c>
      <c r="H62" s="10">
        <v>1448</v>
      </c>
      <c r="I62" s="10"/>
      <c r="J62" s="10"/>
      <c r="K62" s="10"/>
      <c r="L62" s="10">
        <v>2699</v>
      </c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H62" s="18"/>
      <c r="AI62" s="18"/>
      <c r="AJ62" s="18">
        <v>1277</v>
      </c>
      <c r="AK62" s="18">
        <v>2678</v>
      </c>
      <c r="AL62" s="18" t="s">
        <v>103</v>
      </c>
      <c r="AM62" s="11">
        <v>1249</v>
      </c>
      <c r="AN62" s="11">
        <v>3358</v>
      </c>
      <c r="AO62" s="23">
        <f t="shared" si="0"/>
        <v>0</v>
      </c>
    </row>
    <row r="63" spans="1:41" ht="15" customHeight="1" x14ac:dyDescent="0.35">
      <c r="A63" s="9" t="s">
        <v>255</v>
      </c>
      <c r="B63" s="10" t="s">
        <v>256</v>
      </c>
      <c r="C63" s="10" t="s">
        <v>257</v>
      </c>
      <c r="D63" s="10"/>
      <c r="E63" s="10"/>
      <c r="F63" s="10"/>
      <c r="G63" s="10">
        <v>1789</v>
      </c>
      <c r="H63" s="10">
        <v>1449</v>
      </c>
      <c r="I63" s="10"/>
      <c r="J63" s="10"/>
      <c r="K63" s="10"/>
      <c r="L63" s="10">
        <v>2778</v>
      </c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O63" s="36">
        <f>(4/23)</f>
        <v>0.17391304347826086</v>
      </c>
    </row>
    <row r="64" spans="1:41" ht="15" customHeight="1" x14ac:dyDescent="0.35">
      <c r="A64" s="9" t="s">
        <v>258</v>
      </c>
      <c r="B64" s="10" t="s">
        <v>64</v>
      </c>
      <c r="C64" s="10" t="s">
        <v>259</v>
      </c>
      <c r="D64" s="10"/>
      <c r="E64" s="10"/>
      <c r="F64" s="10"/>
      <c r="G64" s="10"/>
      <c r="H64" s="10">
        <v>1455</v>
      </c>
      <c r="I64" s="10"/>
      <c r="J64" s="10"/>
      <c r="K64" s="10"/>
      <c r="L64" s="10">
        <v>2779</v>
      </c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</row>
    <row r="65" spans="1:30" ht="15" customHeight="1" x14ac:dyDescent="0.35">
      <c r="A65" s="9" t="s">
        <v>260</v>
      </c>
      <c r="B65" s="10" t="s">
        <v>261</v>
      </c>
      <c r="C65" s="10" t="s">
        <v>262</v>
      </c>
      <c r="D65" s="10"/>
      <c r="E65" s="10"/>
      <c r="F65" s="10"/>
      <c r="G65" s="10"/>
      <c r="H65" s="10">
        <v>1466</v>
      </c>
      <c r="I65" s="10"/>
      <c r="J65" s="10"/>
      <c r="K65" s="10"/>
      <c r="L65" s="10">
        <v>2788</v>
      </c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</row>
    <row r="66" spans="1:30" ht="15" customHeight="1" x14ac:dyDescent="0.35">
      <c r="A66" s="9" t="s">
        <v>263</v>
      </c>
      <c r="B66" s="10" t="s">
        <v>264</v>
      </c>
      <c r="C66" s="10" t="s">
        <v>265</v>
      </c>
      <c r="D66" s="10"/>
      <c r="E66" s="10"/>
      <c r="F66" s="10"/>
      <c r="G66" s="10"/>
      <c r="H66" s="10">
        <v>1477</v>
      </c>
      <c r="I66" s="10"/>
      <c r="J66" s="10"/>
      <c r="K66" s="10"/>
      <c r="L66" s="10">
        <v>2799</v>
      </c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</row>
    <row r="67" spans="1:30" ht="15" customHeight="1" x14ac:dyDescent="0.35">
      <c r="A67" s="9" t="s">
        <v>266</v>
      </c>
      <c r="B67" s="10" t="s">
        <v>267</v>
      </c>
      <c r="C67" s="10" t="s">
        <v>268</v>
      </c>
      <c r="D67" s="10"/>
      <c r="E67" s="10"/>
      <c r="F67" s="10"/>
      <c r="G67" s="10"/>
      <c r="H67" s="10">
        <v>1488</v>
      </c>
      <c r="I67" s="10"/>
      <c r="J67" s="10"/>
      <c r="K67" s="10"/>
      <c r="L67" s="10">
        <v>2889</v>
      </c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</row>
    <row r="68" spans="1:30" ht="15" customHeight="1" x14ac:dyDescent="0.35">
      <c r="A68" s="9" t="s">
        <v>269</v>
      </c>
      <c r="B68" s="10" t="s">
        <v>270</v>
      </c>
      <c r="C68" s="10" t="s">
        <v>271</v>
      </c>
      <c r="D68" s="10"/>
      <c r="E68" s="10"/>
      <c r="F68" s="10"/>
      <c r="G68" s="10"/>
      <c r="H68" s="10">
        <v>1499</v>
      </c>
      <c r="I68" s="10"/>
      <c r="J68" s="10"/>
      <c r="K68" s="10"/>
      <c r="L68" s="10">
        <v>2899</v>
      </c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</row>
    <row r="69" spans="1:30" ht="15" customHeight="1" x14ac:dyDescent="0.35">
      <c r="A69" s="9" t="s">
        <v>272</v>
      </c>
      <c r="B69" s="10" t="s">
        <v>273</v>
      </c>
      <c r="C69" s="10" t="s">
        <v>274</v>
      </c>
      <c r="D69" s="10"/>
      <c r="E69" s="10"/>
      <c r="F69" s="10"/>
      <c r="G69" s="10"/>
      <c r="H69" s="10">
        <v>1556</v>
      </c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</row>
    <row r="70" spans="1:30" ht="15" customHeight="1" x14ac:dyDescent="0.35">
      <c r="A70" s="9" t="s">
        <v>275</v>
      </c>
      <c r="B70" s="10" t="s">
        <v>276</v>
      </c>
      <c r="C70" s="10" t="s">
        <v>277</v>
      </c>
      <c r="D70" s="10"/>
      <c r="E70" s="10"/>
      <c r="F70" s="10"/>
      <c r="G70" s="10"/>
      <c r="H70" s="10">
        <v>1557</v>
      </c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</row>
    <row r="71" spans="1:30" ht="15" customHeight="1" x14ac:dyDescent="0.35">
      <c r="A71" s="9" t="s">
        <v>278</v>
      </c>
      <c r="B71" s="10" t="s">
        <v>279</v>
      </c>
      <c r="C71" s="10" t="s">
        <v>280</v>
      </c>
      <c r="D71" s="10"/>
      <c r="E71" s="10"/>
      <c r="F71" s="10"/>
      <c r="G71" s="10"/>
      <c r="H71" s="10">
        <v>1558</v>
      </c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</row>
    <row r="72" spans="1:30" ht="15" customHeight="1" x14ac:dyDescent="0.35">
      <c r="A72" s="9" t="s">
        <v>281</v>
      </c>
      <c r="B72" s="10" t="s">
        <v>282</v>
      </c>
      <c r="C72" s="10" t="s">
        <v>283</v>
      </c>
      <c r="D72" s="10"/>
      <c r="E72" s="10"/>
      <c r="F72" s="10"/>
      <c r="G72" s="10"/>
      <c r="H72" s="10">
        <v>1559</v>
      </c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</row>
    <row r="73" spans="1:30" ht="15" customHeight="1" x14ac:dyDescent="0.35">
      <c r="A73" s="9" t="s">
        <v>284</v>
      </c>
      <c r="B73" s="10" t="s">
        <v>71</v>
      </c>
      <c r="C73" s="10" t="s">
        <v>149</v>
      </c>
      <c r="D73" s="10"/>
      <c r="E73" s="10"/>
      <c r="F73" s="10"/>
      <c r="G73" s="10"/>
      <c r="H73" s="10">
        <v>1566</v>
      </c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</row>
    <row r="74" spans="1:30" ht="15" customHeight="1" x14ac:dyDescent="0.35">
      <c r="A74" s="9" t="s">
        <v>285</v>
      </c>
      <c r="B74" s="10" t="s">
        <v>286</v>
      </c>
      <c r="C74" s="10" t="s">
        <v>287</v>
      </c>
      <c r="D74" s="10"/>
      <c r="E74" s="10"/>
      <c r="F74" s="10"/>
      <c r="G74" s="10"/>
      <c r="H74" s="10">
        <v>1588</v>
      </c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</row>
    <row r="75" spans="1:30" ht="15" customHeight="1" x14ac:dyDescent="0.35">
      <c r="A75" s="9" t="s">
        <v>288</v>
      </c>
      <c r="B75" s="10" t="s">
        <v>289</v>
      </c>
      <c r="C75" s="10" t="s">
        <v>290</v>
      </c>
      <c r="D75" s="10"/>
      <c r="E75" s="10"/>
      <c r="F75" s="10"/>
      <c r="G75" s="10"/>
      <c r="H75" s="10">
        <v>1599</v>
      </c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</row>
    <row r="76" spans="1:30" ht="15" customHeight="1" x14ac:dyDescent="0.35">
      <c r="A76" s="9" t="s">
        <v>291</v>
      </c>
      <c r="B76" s="10" t="s">
        <v>292</v>
      </c>
      <c r="C76" s="10" t="s">
        <v>293</v>
      </c>
      <c r="D76" s="10"/>
      <c r="E76" s="10"/>
      <c r="F76" s="10"/>
      <c r="G76" s="10"/>
      <c r="H76" s="10">
        <v>1667</v>
      </c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</row>
    <row r="77" spans="1:30" ht="15" customHeight="1" x14ac:dyDescent="0.35">
      <c r="A77" s="9" t="s">
        <v>294</v>
      </c>
      <c r="B77" s="10" t="s">
        <v>295</v>
      </c>
      <c r="C77" s="10" t="s">
        <v>296</v>
      </c>
      <c r="D77" s="10"/>
      <c r="E77" s="10"/>
      <c r="F77" s="10"/>
      <c r="G77" s="10"/>
      <c r="H77" s="10">
        <v>1668</v>
      </c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</row>
    <row r="78" spans="1:30" ht="15" customHeight="1" x14ac:dyDescent="0.35">
      <c r="A78" s="9" t="s">
        <v>297</v>
      </c>
      <c r="B78" s="10" t="s">
        <v>298</v>
      </c>
      <c r="C78" s="10" t="s">
        <v>299</v>
      </c>
      <c r="D78" s="10"/>
      <c r="E78" s="10"/>
      <c r="F78" s="10"/>
      <c r="G78" s="10"/>
      <c r="H78" s="10">
        <v>1669</v>
      </c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</row>
    <row r="79" spans="1:30" ht="15" customHeight="1" x14ac:dyDescent="0.35">
      <c r="A79" s="9" t="s">
        <v>300</v>
      </c>
      <c r="B79" s="10" t="s">
        <v>301</v>
      </c>
      <c r="C79" s="10" t="s">
        <v>302</v>
      </c>
      <c r="D79" s="10"/>
      <c r="E79" s="10"/>
      <c r="F79" s="10"/>
      <c r="G79" s="10"/>
      <c r="H79" s="10">
        <v>1677</v>
      </c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</row>
    <row r="80" spans="1:30" ht="15" customHeight="1" x14ac:dyDescent="0.35">
      <c r="A80" s="9" t="s">
        <v>303</v>
      </c>
      <c r="B80" s="10" t="s">
        <v>304</v>
      </c>
      <c r="C80" s="10" t="s">
        <v>305</v>
      </c>
      <c r="D80" s="10"/>
      <c r="E80" s="10"/>
      <c r="F80" s="10"/>
      <c r="G80" s="10"/>
      <c r="H80" s="10">
        <v>1688</v>
      </c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</row>
    <row r="81" spans="1:30" ht="15" customHeight="1" x14ac:dyDescent="0.35">
      <c r="A81" s="9" t="s">
        <v>306</v>
      </c>
      <c r="B81" s="10" t="s">
        <v>307</v>
      </c>
      <c r="C81" s="10" t="s">
        <v>308</v>
      </c>
      <c r="D81" s="10"/>
      <c r="E81" s="10"/>
      <c r="F81" s="10"/>
      <c r="G81" s="10"/>
      <c r="H81" s="10">
        <v>1699</v>
      </c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</row>
    <row r="82" spans="1:30" ht="15" customHeight="1" x14ac:dyDescent="0.35">
      <c r="A82" s="9" t="s">
        <v>309</v>
      </c>
      <c r="B82" s="10" t="s">
        <v>310</v>
      </c>
      <c r="C82" s="10" t="s">
        <v>311</v>
      </c>
      <c r="D82" s="10"/>
      <c r="E82" s="10"/>
      <c r="F82" s="10"/>
      <c r="G82" s="10"/>
      <c r="H82" s="10">
        <v>1778</v>
      </c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</row>
    <row r="83" spans="1:30" ht="15" customHeight="1" x14ac:dyDescent="0.35">
      <c r="A83" s="9" t="s">
        <v>312</v>
      </c>
      <c r="B83" s="10" t="s">
        <v>313</v>
      </c>
      <c r="C83" s="10" t="s">
        <v>314</v>
      </c>
      <c r="D83" s="10"/>
      <c r="E83" s="10"/>
      <c r="F83" s="10"/>
      <c r="G83" s="10"/>
      <c r="H83" s="10">
        <v>1779</v>
      </c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</row>
    <row r="84" spans="1:30" ht="15" customHeight="1" x14ac:dyDescent="0.35">
      <c r="A84" s="9" t="s">
        <v>315</v>
      </c>
      <c r="B84" s="10" t="s">
        <v>135</v>
      </c>
      <c r="C84" s="10" t="s">
        <v>316</v>
      </c>
      <c r="D84" s="10"/>
      <c r="E84" s="10"/>
      <c r="F84" s="10"/>
      <c r="G84" s="10"/>
      <c r="H84" s="10">
        <v>1788</v>
      </c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</row>
    <row r="85" spans="1:30" ht="15" customHeight="1" x14ac:dyDescent="0.35">
      <c r="A85" s="9" t="s">
        <v>317</v>
      </c>
      <c r="B85" s="10" t="s">
        <v>318</v>
      </c>
      <c r="C85" s="10" t="s">
        <v>319</v>
      </c>
      <c r="D85" s="10"/>
      <c r="E85" s="10"/>
      <c r="F85" s="10"/>
      <c r="G85" s="10"/>
      <c r="H85" s="10">
        <v>1799</v>
      </c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</row>
    <row r="86" spans="1:30" ht="15" customHeight="1" x14ac:dyDescent="0.35">
      <c r="A86" s="9" t="s">
        <v>320</v>
      </c>
      <c r="B86" s="10" t="s">
        <v>321</v>
      </c>
      <c r="C86" s="10" t="s">
        <v>322</v>
      </c>
      <c r="D86" s="10"/>
      <c r="E86" s="10"/>
      <c r="F86" s="10"/>
      <c r="G86" s="10"/>
      <c r="H86" s="10">
        <v>1889</v>
      </c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</row>
    <row r="87" spans="1:30" ht="15" customHeight="1" x14ac:dyDescent="0.35">
      <c r="A87" s="9" t="s">
        <v>323</v>
      </c>
      <c r="B87" s="10" t="s">
        <v>324</v>
      </c>
      <c r="C87" s="10" t="s">
        <v>325</v>
      </c>
      <c r="D87" s="10"/>
      <c r="E87" s="10"/>
      <c r="F87" s="10"/>
      <c r="G87" s="10"/>
      <c r="H87" s="10">
        <v>1899</v>
      </c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</row>
    <row r="88" spans="1:30" ht="15" customHeight="1" x14ac:dyDescent="0.35">
      <c r="A88" s="9" t="s">
        <v>326</v>
      </c>
      <c r="B88" s="10" t="s">
        <v>327</v>
      </c>
      <c r="C88" s="10" t="s">
        <v>97</v>
      </c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</row>
    <row r="89" spans="1:30" ht="15" customHeight="1" x14ac:dyDescent="0.35">
      <c r="A89" s="9" t="s">
        <v>328</v>
      </c>
      <c r="B89" s="10" t="s">
        <v>329</v>
      </c>
      <c r="C89" s="10" t="s">
        <v>330</v>
      </c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</row>
    <row r="90" spans="1:30" ht="15" customHeight="1" x14ac:dyDescent="0.35">
      <c r="A90" s="9" t="s">
        <v>331</v>
      </c>
      <c r="B90" s="10"/>
      <c r="C90" s="10" t="s">
        <v>332</v>
      </c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</row>
    <row r="91" spans="1:30" ht="15" customHeight="1" x14ac:dyDescent="0.35">
      <c r="A91" s="9" t="s">
        <v>333</v>
      </c>
      <c r="B91" s="10"/>
      <c r="C91" s="10" t="s">
        <v>334</v>
      </c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</row>
    <row r="92" spans="1:30" ht="15" customHeight="1" x14ac:dyDescent="0.35">
      <c r="A92" s="9" t="s">
        <v>335</v>
      </c>
      <c r="B92" s="10"/>
      <c r="C92" s="10" t="s">
        <v>336</v>
      </c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</row>
    <row r="93" spans="1:30" ht="15" customHeight="1" x14ac:dyDescent="0.35">
      <c r="A93" s="9" t="s">
        <v>337</v>
      </c>
      <c r="B93" s="10"/>
      <c r="C93" s="10" t="s">
        <v>338</v>
      </c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</row>
    <row r="94" spans="1:30" ht="15" customHeight="1" x14ac:dyDescent="0.35">
      <c r="A94" s="9" t="s">
        <v>339</v>
      </c>
      <c r="B94" s="10"/>
      <c r="C94" s="10" t="s">
        <v>340</v>
      </c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</row>
    <row r="95" spans="1:30" ht="15" customHeight="1" x14ac:dyDescent="0.35">
      <c r="A95" s="9" t="s">
        <v>341</v>
      </c>
      <c r="B95" s="10"/>
      <c r="C95" s="10" t="s">
        <v>342</v>
      </c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</row>
    <row r="96" spans="1:30" ht="15" customHeight="1" x14ac:dyDescent="0.35">
      <c r="A96" s="9" t="s">
        <v>343</v>
      </c>
      <c r="B96" s="10"/>
      <c r="C96" s="10" t="s">
        <v>344</v>
      </c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</row>
    <row r="97" spans="1:30" ht="15" customHeight="1" x14ac:dyDescent="0.35">
      <c r="A97" s="9" t="s">
        <v>345</v>
      </c>
      <c r="B97" s="10"/>
      <c r="C97" s="10" t="s">
        <v>346</v>
      </c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</row>
    <row r="98" spans="1:30" ht="15" customHeight="1" x14ac:dyDescent="0.35">
      <c r="A98" s="9" t="s">
        <v>347</v>
      </c>
      <c r="B98" s="10"/>
      <c r="C98" s="10" t="s">
        <v>348</v>
      </c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</row>
    <row r="99" spans="1:30" ht="15" customHeight="1" x14ac:dyDescent="0.35">
      <c r="A99" s="9" t="s">
        <v>349</v>
      </c>
      <c r="B99" s="10"/>
      <c r="C99" s="10" t="s">
        <v>350</v>
      </c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</row>
    <row r="100" spans="1:30" ht="15" customHeight="1" x14ac:dyDescent="0.35">
      <c r="A100" s="9" t="s">
        <v>351</v>
      </c>
      <c r="B100" s="10"/>
      <c r="C100" s="10" t="s">
        <v>352</v>
      </c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</row>
    <row r="101" spans="1:30" ht="15" customHeight="1" x14ac:dyDescent="0.35">
      <c r="A101" s="9" t="s">
        <v>353</v>
      </c>
      <c r="B101" s="10"/>
      <c r="C101" s="10" t="s">
        <v>354</v>
      </c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</row>
    <row r="102" spans="1:30" ht="15" customHeight="1" x14ac:dyDescent="0.35">
      <c r="A102" s="9" t="s">
        <v>355</v>
      </c>
      <c r="B102" s="10"/>
      <c r="C102" s="10" t="s">
        <v>356</v>
      </c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</row>
    <row r="103" spans="1:30" ht="15" customHeight="1" x14ac:dyDescent="0.35">
      <c r="A103" s="9" t="s">
        <v>357</v>
      </c>
      <c r="B103" s="10"/>
      <c r="C103" s="10" t="s">
        <v>358</v>
      </c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</row>
    <row r="104" spans="1:30" ht="15" customHeight="1" x14ac:dyDescent="0.35">
      <c r="A104" s="9" t="s">
        <v>359</v>
      </c>
      <c r="B104" s="10"/>
      <c r="C104" s="10" t="s">
        <v>360</v>
      </c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</row>
    <row r="105" spans="1:30" ht="15" customHeight="1" x14ac:dyDescent="0.35">
      <c r="A105" s="9" t="s">
        <v>361</v>
      </c>
      <c r="B105" s="10"/>
      <c r="C105" s="10" t="s">
        <v>362</v>
      </c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</row>
    <row r="106" spans="1:30" ht="15" customHeight="1" x14ac:dyDescent="0.35">
      <c r="A106" s="9" t="s">
        <v>363</v>
      </c>
      <c r="B106" s="10"/>
      <c r="C106" s="10" t="s">
        <v>364</v>
      </c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</row>
    <row r="107" spans="1:30" ht="15" customHeight="1" x14ac:dyDescent="0.35">
      <c r="A107" s="9" t="s">
        <v>365</v>
      </c>
      <c r="B107" s="10"/>
      <c r="C107" s="10" t="s">
        <v>366</v>
      </c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</row>
    <row r="108" spans="1:30" ht="15" customHeight="1" x14ac:dyDescent="0.35">
      <c r="A108" s="9" t="s">
        <v>367</v>
      </c>
      <c r="B108" s="10"/>
      <c r="C108" s="10" t="s">
        <v>368</v>
      </c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</row>
    <row r="109" spans="1:30" ht="15" customHeight="1" x14ac:dyDescent="0.35">
      <c r="A109" s="9" t="s">
        <v>369</v>
      </c>
      <c r="B109" s="10"/>
      <c r="C109" s="10" t="s">
        <v>370</v>
      </c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</row>
    <row r="110" spans="1:30" ht="15" customHeight="1" x14ac:dyDescent="0.35">
      <c r="A110" s="9" t="s">
        <v>371</v>
      </c>
      <c r="B110" s="10"/>
      <c r="C110" s="10" t="s">
        <v>372</v>
      </c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</row>
    <row r="111" spans="1:30" ht="15" customHeight="1" x14ac:dyDescent="0.35">
      <c r="A111" s="9" t="s">
        <v>373</v>
      </c>
      <c r="B111" s="10"/>
      <c r="C111" s="10" t="s">
        <v>374</v>
      </c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</row>
    <row r="112" spans="1:30" ht="15" customHeight="1" x14ac:dyDescent="0.35">
      <c r="A112" s="9" t="s">
        <v>375</v>
      </c>
      <c r="B112" s="10"/>
      <c r="C112" s="10" t="s">
        <v>376</v>
      </c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</row>
    <row r="113" spans="1:30" ht="15" customHeight="1" x14ac:dyDescent="0.35">
      <c r="A113" s="9" t="s">
        <v>377</v>
      </c>
      <c r="B113" s="10"/>
      <c r="C113" s="10" t="s">
        <v>378</v>
      </c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</row>
  </sheetData>
  <mergeCells count="8">
    <mergeCell ref="AH38:AO38"/>
    <mergeCell ref="B3:AD3"/>
    <mergeCell ref="AH6:AH8"/>
    <mergeCell ref="AI6:AI8"/>
    <mergeCell ref="AH9:AH18"/>
    <mergeCell ref="AI9:AI18"/>
    <mergeCell ref="AH19:AH28"/>
    <mergeCell ref="AI19:AI28"/>
  </mergeCells>
  <conditionalFormatting sqref="B6:AD113 AJ6:AL28">
    <cfRule type="duplicateValues" dxfId="85" priority="12"/>
  </conditionalFormatting>
  <conditionalFormatting sqref="B6:AD113">
    <cfRule type="duplicateValues" dxfId="84" priority="13"/>
    <cfRule type="duplicateValues" dxfId="83" priority="51"/>
  </conditionalFormatting>
  <conditionalFormatting sqref="AM6:AM28 B6:AD113">
    <cfRule type="duplicateValues" dxfId="82" priority="9"/>
  </conditionalFormatting>
  <conditionalFormatting sqref="AM6:AM28">
    <cfRule type="duplicateValues" dxfId="81" priority="54"/>
  </conditionalFormatting>
  <conditionalFormatting sqref="AN6:AN28 B6:AD113">
    <cfRule type="duplicateValues" dxfId="80" priority="8"/>
  </conditionalFormatting>
  <conditionalFormatting sqref="AN6:AO28">
    <cfRule type="duplicateValues" dxfId="79" priority="2"/>
  </conditionalFormatting>
  <conditionalFormatting sqref="AO6:AO28 B6:AD113">
    <cfRule type="duplicateValues" dxfId="78" priority="3"/>
  </conditionalFormatting>
  <conditionalFormatting sqref="AP6:AP28">
    <cfRule type="duplicateValues" dxfId="77" priority="4"/>
    <cfRule type="duplicateValues" dxfId="76" priority="5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87B58-5EB8-4DDA-9996-21F410BA563F}">
  <dimension ref="A1:BG112"/>
  <sheetViews>
    <sheetView topLeftCell="K3" zoomScale="85" zoomScaleNormal="85" workbookViewId="0">
      <selection activeCell="AK25" sqref="AK25"/>
    </sheetView>
  </sheetViews>
  <sheetFormatPr defaultColWidth="6.7265625" defaultRowHeight="13" x14ac:dyDescent="0.3"/>
  <cols>
    <col min="1" max="1" width="4.26953125" style="14" bestFit="1" customWidth="1"/>
    <col min="2" max="2" width="5" style="14" bestFit="1" customWidth="1"/>
    <col min="3" max="3" width="5.1796875" style="15" bestFit="1" customWidth="1"/>
    <col min="4" max="4" width="4.6328125" style="14" bestFit="1" customWidth="1"/>
    <col min="5" max="5" width="4.90625" style="14" bestFit="1" customWidth="1"/>
    <col min="6" max="6" width="5.1796875" style="14" bestFit="1" customWidth="1"/>
    <col min="7" max="8" width="4.81640625" style="14" bestFit="1" customWidth="1"/>
    <col min="9" max="9" width="4.453125" style="14" bestFit="1" customWidth="1"/>
    <col min="10" max="10" width="4.6328125" style="14" bestFit="1" customWidth="1"/>
    <col min="11" max="12" width="4.81640625" style="14" bestFit="1" customWidth="1"/>
    <col min="13" max="13" width="4.453125" style="14" bestFit="1" customWidth="1"/>
    <col min="14" max="14" width="4.6328125" style="14" bestFit="1" customWidth="1"/>
    <col min="15" max="17" width="4.81640625" style="14" bestFit="1" customWidth="1"/>
    <col min="18" max="18" width="4.6328125" style="14" bestFit="1" customWidth="1"/>
    <col min="19" max="20" width="4.81640625" style="14" bestFit="1" customWidth="1"/>
    <col min="21" max="21" width="4.453125" style="14" bestFit="1" customWidth="1"/>
    <col min="22" max="22" width="4.6328125" style="14" bestFit="1" customWidth="1"/>
    <col min="23" max="23" width="4.81640625" style="14" bestFit="1" customWidth="1"/>
    <col min="24" max="24" width="4.54296875" style="14" bestFit="1" customWidth="1"/>
    <col min="25" max="25" width="4.453125" style="14" bestFit="1" customWidth="1"/>
    <col min="26" max="26" width="4.6328125" style="14" bestFit="1" customWidth="1"/>
    <col min="27" max="28" width="4.54296875" style="14" bestFit="1" customWidth="1"/>
    <col min="29" max="29" width="4.453125" style="14" bestFit="1" customWidth="1"/>
    <col min="30" max="30" width="4.6328125" style="14" bestFit="1" customWidth="1"/>
    <col min="31" max="31" width="6.7265625" style="14"/>
    <col min="32" max="32" width="8.1796875" style="14" customWidth="1"/>
    <col min="33" max="33" width="4.26953125" style="14" bestFit="1" customWidth="1"/>
    <col min="34" max="34" width="5" style="14" bestFit="1" customWidth="1"/>
    <col min="35" max="35" width="5.1796875" style="15" bestFit="1" customWidth="1"/>
    <col min="36" max="40" width="4.81640625" style="14" bestFit="1" customWidth="1"/>
    <col min="41" max="41" width="8.81640625" style="15" customWidth="1"/>
    <col min="42" max="48" width="3.7265625" style="15" customWidth="1"/>
    <col min="49" max="49" width="6.7265625" style="14"/>
    <col min="50" max="51" width="7.26953125" style="50" customWidth="1"/>
    <col min="52" max="54" width="7.26953125" style="51" customWidth="1"/>
    <col min="55" max="56" width="7.26953125" style="52" customWidth="1"/>
    <col min="57" max="57" width="7.26953125" style="53" customWidth="1"/>
    <col min="58" max="58" width="7.26953125" style="54" customWidth="1"/>
    <col min="59" max="16384" width="6.7265625" style="14"/>
  </cols>
  <sheetData>
    <row r="1" spans="1:59" ht="13.5" thickBot="1" x14ac:dyDescent="0.35"/>
    <row r="2" spans="1:59" ht="15.5" thickBot="1" x14ac:dyDescent="0.4">
      <c r="A2" s="1"/>
      <c r="B2" s="117" t="s">
        <v>0</v>
      </c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8"/>
      <c r="AB2" s="118"/>
      <c r="AC2" s="118"/>
      <c r="AD2" s="119"/>
      <c r="AG2" s="1"/>
      <c r="AH2" s="140" t="s">
        <v>1</v>
      </c>
      <c r="AI2" s="118"/>
      <c r="AJ2" s="118"/>
      <c r="AK2" s="118"/>
      <c r="AL2" s="118"/>
      <c r="AM2" s="118"/>
      <c r="AN2" s="119"/>
    </row>
    <row r="3" spans="1:59" x14ac:dyDescent="0.3">
      <c r="A3" s="1"/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4" t="s">
        <v>18</v>
      </c>
      <c r="S3" s="4" t="s">
        <v>19</v>
      </c>
      <c r="T3" s="4" t="s">
        <v>20</v>
      </c>
      <c r="U3" s="4" t="s">
        <v>21</v>
      </c>
      <c r="V3" s="4" t="s">
        <v>22</v>
      </c>
      <c r="W3" s="4" t="s">
        <v>23</v>
      </c>
      <c r="X3" s="4" t="s">
        <v>24</v>
      </c>
      <c r="Y3" s="4" t="s">
        <v>25</v>
      </c>
      <c r="Z3" s="4" t="s">
        <v>26</v>
      </c>
      <c r="AA3" s="4" t="s">
        <v>27</v>
      </c>
      <c r="AB3" s="4" t="s">
        <v>28</v>
      </c>
      <c r="AC3" s="4" t="s">
        <v>29</v>
      </c>
      <c r="AD3" s="4" t="s">
        <v>30</v>
      </c>
      <c r="AG3" s="1"/>
      <c r="AH3" s="4" t="s">
        <v>2</v>
      </c>
      <c r="AI3" s="4" t="s">
        <v>3</v>
      </c>
      <c r="AJ3" s="4" t="s">
        <v>7</v>
      </c>
      <c r="AK3" s="4" t="s">
        <v>8</v>
      </c>
      <c r="AL3" s="4" t="s">
        <v>12</v>
      </c>
      <c r="AM3" s="4" t="s">
        <v>15</v>
      </c>
      <c r="AN3" s="84" t="s">
        <v>16</v>
      </c>
    </row>
    <row r="4" spans="1:59" ht="15" thickBot="1" x14ac:dyDescent="0.3">
      <c r="A4" s="5"/>
      <c r="B4" s="6" t="s">
        <v>31</v>
      </c>
      <c r="C4" s="6" t="s">
        <v>32</v>
      </c>
      <c r="D4" s="7" t="s">
        <v>33</v>
      </c>
      <c r="E4" s="7" t="s">
        <v>34</v>
      </c>
      <c r="F4" s="7" t="s">
        <v>35</v>
      </c>
      <c r="G4" s="6" t="s">
        <v>31</v>
      </c>
      <c r="H4" s="6" t="s">
        <v>32</v>
      </c>
      <c r="I4" s="7" t="s">
        <v>33</v>
      </c>
      <c r="J4" s="7" t="s">
        <v>34</v>
      </c>
      <c r="K4" s="6" t="s">
        <v>31</v>
      </c>
      <c r="L4" s="6" t="s">
        <v>32</v>
      </c>
      <c r="M4" s="7" t="s">
        <v>33</v>
      </c>
      <c r="N4" s="7" t="s">
        <v>34</v>
      </c>
      <c r="O4" s="6" t="s">
        <v>31</v>
      </c>
      <c r="P4" s="6" t="s">
        <v>32</v>
      </c>
      <c r="Q4" s="7" t="s">
        <v>33</v>
      </c>
      <c r="R4" s="7" t="s">
        <v>34</v>
      </c>
      <c r="S4" s="6" t="s">
        <v>31</v>
      </c>
      <c r="T4" s="6" t="s">
        <v>32</v>
      </c>
      <c r="U4" s="7" t="s">
        <v>33</v>
      </c>
      <c r="V4" s="7" t="s">
        <v>34</v>
      </c>
      <c r="W4" s="6" t="s">
        <v>31</v>
      </c>
      <c r="X4" s="6" t="s">
        <v>32</v>
      </c>
      <c r="Y4" s="7" t="s">
        <v>33</v>
      </c>
      <c r="Z4" s="7" t="s">
        <v>34</v>
      </c>
      <c r="AA4" s="6" t="s">
        <v>31</v>
      </c>
      <c r="AB4" s="6" t="s">
        <v>32</v>
      </c>
      <c r="AC4" s="7" t="s">
        <v>33</v>
      </c>
      <c r="AD4" s="7" t="s">
        <v>34</v>
      </c>
      <c r="AG4" s="5"/>
      <c r="AH4" s="38" t="s">
        <v>31</v>
      </c>
      <c r="AI4" s="38" t="s">
        <v>32</v>
      </c>
      <c r="AJ4" s="38" t="s">
        <v>31</v>
      </c>
      <c r="AK4" s="38" t="s">
        <v>32</v>
      </c>
      <c r="AL4" s="38" t="s">
        <v>32</v>
      </c>
      <c r="AM4" s="38" t="s">
        <v>31</v>
      </c>
      <c r="AN4" s="78" t="s">
        <v>32</v>
      </c>
      <c r="AO4" s="82" t="s">
        <v>444</v>
      </c>
      <c r="AP4" s="82" t="s">
        <v>431</v>
      </c>
      <c r="AQ4" s="82" t="s">
        <v>431</v>
      </c>
      <c r="AR4" s="82" t="s">
        <v>431</v>
      </c>
      <c r="AS4" s="82" t="s">
        <v>431</v>
      </c>
      <c r="AT4" s="82" t="s">
        <v>431</v>
      </c>
      <c r="AU4" s="82" t="s">
        <v>431</v>
      </c>
      <c r="AV4" s="82" t="s">
        <v>431</v>
      </c>
      <c r="AY4" s="138" t="s">
        <v>36</v>
      </c>
      <c r="AZ4" s="139"/>
      <c r="BA4" s="139"/>
      <c r="BB4" s="139"/>
      <c r="BC4" s="139"/>
      <c r="BD4" s="139"/>
      <c r="BE4" s="139"/>
      <c r="BF4" s="139"/>
    </row>
    <row r="5" spans="1:59" ht="23.5" customHeight="1" x14ac:dyDescent="0.25">
      <c r="A5" s="9" t="s">
        <v>37</v>
      </c>
      <c r="B5" s="10" t="s">
        <v>38</v>
      </c>
      <c r="C5" s="10" t="s">
        <v>39</v>
      </c>
      <c r="D5" s="10" t="s">
        <v>40</v>
      </c>
      <c r="E5" s="10" t="s">
        <v>41</v>
      </c>
      <c r="F5" s="10" t="s">
        <v>42</v>
      </c>
      <c r="G5" s="10">
        <v>1234</v>
      </c>
      <c r="H5" s="10">
        <v>1123</v>
      </c>
      <c r="I5" s="10">
        <v>1122</v>
      </c>
      <c r="J5" s="10">
        <v>1112</v>
      </c>
      <c r="K5" s="10">
        <v>2345</v>
      </c>
      <c r="L5" s="10">
        <v>2234</v>
      </c>
      <c r="M5" s="10">
        <v>2233</v>
      </c>
      <c r="N5" s="10">
        <v>2223</v>
      </c>
      <c r="O5" s="10">
        <v>3456</v>
      </c>
      <c r="P5" s="10">
        <v>3345</v>
      </c>
      <c r="Q5" s="10">
        <v>3344</v>
      </c>
      <c r="R5" s="10">
        <v>3334</v>
      </c>
      <c r="S5" s="10">
        <v>4567</v>
      </c>
      <c r="T5" s="10">
        <v>4456</v>
      </c>
      <c r="U5" s="10">
        <v>4455</v>
      </c>
      <c r="V5" s="10">
        <v>4445</v>
      </c>
      <c r="W5" s="10">
        <v>5678</v>
      </c>
      <c r="X5" s="10">
        <v>5567</v>
      </c>
      <c r="Y5" s="10">
        <v>5566</v>
      </c>
      <c r="Z5" s="10">
        <v>5556</v>
      </c>
      <c r="AA5" s="10">
        <v>6789</v>
      </c>
      <c r="AB5" s="10">
        <v>6678</v>
      </c>
      <c r="AC5" s="10">
        <v>6677</v>
      </c>
      <c r="AD5" s="10">
        <v>6667</v>
      </c>
      <c r="AF5" s="101" t="s">
        <v>434</v>
      </c>
      <c r="AG5" s="39" t="s">
        <v>37</v>
      </c>
      <c r="AH5" s="40" t="s">
        <v>38</v>
      </c>
      <c r="AI5" s="40" t="s">
        <v>39</v>
      </c>
      <c r="AJ5" s="40">
        <v>1234</v>
      </c>
      <c r="AK5" s="40">
        <v>1123</v>
      </c>
      <c r="AL5" s="40">
        <v>2234</v>
      </c>
      <c r="AM5" s="40">
        <v>3456</v>
      </c>
      <c r="AN5" s="45">
        <v>3345</v>
      </c>
      <c r="AO5" s="107">
        <f>SUM(AP5:AV16)</f>
        <v>26</v>
      </c>
      <c r="AP5" s="75">
        <f>COUNTIF($AZ$6:$FT$28,AH5)</f>
        <v>2</v>
      </c>
      <c r="AQ5" s="75">
        <f t="shared" ref="AQ5:AV20" si="0">COUNTIF($AZ$6:$FT$28,AI5)</f>
        <v>0</v>
      </c>
      <c r="AR5" s="75">
        <f t="shared" si="0"/>
        <v>0</v>
      </c>
      <c r="AS5" s="75">
        <f t="shared" si="0"/>
        <v>0</v>
      </c>
      <c r="AT5" s="75">
        <f t="shared" si="0"/>
        <v>0</v>
      </c>
      <c r="AU5" s="75">
        <f t="shared" si="0"/>
        <v>0</v>
      </c>
      <c r="AV5" s="76">
        <f t="shared" si="0"/>
        <v>0</v>
      </c>
      <c r="AY5" s="55" t="s">
        <v>43</v>
      </c>
      <c r="AZ5" s="55" t="s">
        <v>44</v>
      </c>
      <c r="BA5" s="55" t="s">
        <v>45</v>
      </c>
      <c r="BB5" s="55" t="s">
        <v>46</v>
      </c>
      <c r="BC5" s="56" t="s">
        <v>47</v>
      </c>
      <c r="BD5" s="57" t="s">
        <v>425</v>
      </c>
      <c r="BE5" s="56" t="s">
        <v>429</v>
      </c>
      <c r="BF5" s="57" t="s">
        <v>432</v>
      </c>
      <c r="BG5" s="57" t="s">
        <v>443</v>
      </c>
    </row>
    <row r="6" spans="1:59" ht="14.5" customHeight="1" x14ac:dyDescent="0.3">
      <c r="A6" s="9" t="s">
        <v>48</v>
      </c>
      <c r="B6" s="10" t="s">
        <v>49</v>
      </c>
      <c r="C6" s="10" t="s">
        <v>50</v>
      </c>
      <c r="D6" s="10" t="s">
        <v>51</v>
      </c>
      <c r="E6" s="10" t="s">
        <v>52</v>
      </c>
      <c r="F6" s="10">
        <v>1111</v>
      </c>
      <c r="G6" s="10">
        <v>1235</v>
      </c>
      <c r="H6" s="10">
        <v>1124</v>
      </c>
      <c r="I6" s="10">
        <v>1133</v>
      </c>
      <c r="J6" s="10">
        <v>1113</v>
      </c>
      <c r="K6" s="10">
        <v>2346</v>
      </c>
      <c r="L6" s="10">
        <v>2235</v>
      </c>
      <c r="M6" s="10">
        <v>2244</v>
      </c>
      <c r="N6" s="10">
        <v>2224</v>
      </c>
      <c r="O6" s="10">
        <v>3457</v>
      </c>
      <c r="P6" s="10">
        <v>3346</v>
      </c>
      <c r="Q6" s="10">
        <v>3355</v>
      </c>
      <c r="R6" s="10">
        <v>3335</v>
      </c>
      <c r="S6" s="10">
        <v>4568</v>
      </c>
      <c r="T6" s="10">
        <v>4457</v>
      </c>
      <c r="U6" s="10">
        <v>4466</v>
      </c>
      <c r="V6" s="10">
        <v>4446</v>
      </c>
      <c r="W6" s="10">
        <v>5679</v>
      </c>
      <c r="X6" s="10">
        <v>5568</v>
      </c>
      <c r="Y6" s="10">
        <v>5577</v>
      </c>
      <c r="Z6" s="10">
        <v>5557</v>
      </c>
      <c r="AA6" s="10"/>
      <c r="AB6" s="10">
        <v>6679</v>
      </c>
      <c r="AC6" s="10">
        <v>6688</v>
      </c>
      <c r="AD6" s="10">
        <v>6668</v>
      </c>
      <c r="AF6" s="102"/>
      <c r="AG6" s="9" t="s">
        <v>48</v>
      </c>
      <c r="AH6" s="10" t="s">
        <v>49</v>
      </c>
      <c r="AI6" s="10" t="s">
        <v>50</v>
      </c>
      <c r="AJ6" s="10">
        <v>1235</v>
      </c>
      <c r="AK6" s="10">
        <v>1124</v>
      </c>
      <c r="AL6" s="10">
        <v>2235</v>
      </c>
      <c r="AM6" s="10">
        <v>3457</v>
      </c>
      <c r="AN6" s="46">
        <v>3346</v>
      </c>
      <c r="AO6" s="108"/>
      <c r="AP6" s="77">
        <f t="shared" ref="AP6:AV21" si="1">COUNTIF($AZ$6:$FT$28,AH6)</f>
        <v>5</v>
      </c>
      <c r="AQ6" s="77">
        <f t="shared" si="0"/>
        <v>0</v>
      </c>
      <c r="AR6" s="77">
        <f t="shared" si="0"/>
        <v>0</v>
      </c>
      <c r="AS6" s="77">
        <f t="shared" si="0"/>
        <v>0</v>
      </c>
      <c r="AT6" s="77">
        <f t="shared" si="0"/>
        <v>0</v>
      </c>
      <c r="AU6" s="77">
        <f t="shared" si="0"/>
        <v>1</v>
      </c>
      <c r="AV6" s="79">
        <f t="shared" si="0"/>
        <v>0</v>
      </c>
      <c r="AX6" s="135" t="s">
        <v>53</v>
      </c>
      <c r="AY6" s="58">
        <v>1446</v>
      </c>
      <c r="AZ6" s="58">
        <v>3679</v>
      </c>
      <c r="BA6" s="58">
        <v>4566</v>
      </c>
      <c r="BB6" s="57">
        <v>4567</v>
      </c>
      <c r="BC6" s="59">
        <v>1356</v>
      </c>
      <c r="BD6" s="59">
        <v>3455</v>
      </c>
      <c r="BE6" s="60">
        <v>1388</v>
      </c>
      <c r="BF6" s="59" t="s">
        <v>298</v>
      </c>
      <c r="BG6" s="31"/>
    </row>
    <row r="7" spans="1:59" ht="14.5" customHeight="1" x14ac:dyDescent="0.3">
      <c r="A7" s="9" t="s">
        <v>54</v>
      </c>
      <c r="B7" s="10" t="s">
        <v>55</v>
      </c>
      <c r="C7" s="10" t="s">
        <v>56</v>
      </c>
      <c r="D7" s="10" t="s">
        <v>57</v>
      </c>
      <c r="E7" s="10" t="s">
        <v>58</v>
      </c>
      <c r="F7" s="10">
        <v>2222</v>
      </c>
      <c r="G7" s="10">
        <v>1236</v>
      </c>
      <c r="H7" s="10">
        <v>1125</v>
      </c>
      <c r="I7" s="10">
        <v>1144</v>
      </c>
      <c r="J7" s="10">
        <v>1114</v>
      </c>
      <c r="K7" s="10">
        <v>2347</v>
      </c>
      <c r="L7" s="10">
        <v>2236</v>
      </c>
      <c r="M7" s="10">
        <v>2255</v>
      </c>
      <c r="N7" s="10">
        <v>2225</v>
      </c>
      <c r="O7" s="10">
        <v>3458</v>
      </c>
      <c r="P7" s="10">
        <v>3347</v>
      </c>
      <c r="Q7" s="10">
        <v>3366</v>
      </c>
      <c r="R7" s="10">
        <v>3336</v>
      </c>
      <c r="S7" s="10">
        <v>4569</v>
      </c>
      <c r="T7" s="10">
        <v>4458</v>
      </c>
      <c r="U7" s="10">
        <v>4477</v>
      </c>
      <c r="V7" s="10">
        <v>4447</v>
      </c>
      <c r="W7" s="10">
        <v>5689</v>
      </c>
      <c r="X7" s="10">
        <v>5569</v>
      </c>
      <c r="Y7" s="10">
        <v>5588</v>
      </c>
      <c r="Z7" s="10">
        <v>5558</v>
      </c>
      <c r="AA7" s="10"/>
      <c r="AB7" s="10">
        <v>6689</v>
      </c>
      <c r="AC7" s="10">
        <v>6699</v>
      </c>
      <c r="AD7" s="10">
        <v>6669</v>
      </c>
      <c r="AF7" s="102"/>
      <c r="AG7" s="9" t="s">
        <v>54</v>
      </c>
      <c r="AH7" s="10" t="s">
        <v>55</v>
      </c>
      <c r="AI7" s="10" t="s">
        <v>56</v>
      </c>
      <c r="AJ7" s="10">
        <v>1236</v>
      </c>
      <c r="AK7" s="10">
        <v>1125</v>
      </c>
      <c r="AL7" s="10">
        <v>2236</v>
      </c>
      <c r="AM7" s="10">
        <v>3458</v>
      </c>
      <c r="AN7" s="46">
        <v>3347</v>
      </c>
      <c r="AO7" s="108"/>
      <c r="AP7" s="77">
        <f t="shared" si="1"/>
        <v>0</v>
      </c>
      <c r="AQ7" s="77">
        <f t="shared" si="0"/>
        <v>0</v>
      </c>
      <c r="AR7" s="77">
        <f t="shared" si="0"/>
        <v>0</v>
      </c>
      <c r="AS7" s="77">
        <f t="shared" si="0"/>
        <v>0</v>
      </c>
      <c r="AT7" s="77">
        <f t="shared" si="0"/>
        <v>0</v>
      </c>
      <c r="AU7" s="77">
        <f t="shared" si="0"/>
        <v>0</v>
      </c>
      <c r="AV7" s="79">
        <f t="shared" si="0"/>
        <v>0</v>
      </c>
      <c r="AX7" s="136"/>
      <c r="AY7" s="58">
        <v>2556</v>
      </c>
      <c r="AZ7" s="58">
        <v>1237</v>
      </c>
      <c r="BA7" s="58">
        <v>1388</v>
      </c>
      <c r="BB7" s="57" t="s">
        <v>49</v>
      </c>
      <c r="BC7" s="59" t="s">
        <v>49</v>
      </c>
      <c r="BD7" s="59">
        <v>4678</v>
      </c>
      <c r="BE7" s="60" t="s">
        <v>71</v>
      </c>
      <c r="BF7" s="59">
        <v>2488</v>
      </c>
      <c r="BG7" s="31"/>
    </row>
    <row r="8" spans="1:59" ht="14.5" customHeight="1" x14ac:dyDescent="0.3">
      <c r="A8" s="9" t="s">
        <v>59</v>
      </c>
      <c r="B8" s="10" t="s">
        <v>60</v>
      </c>
      <c r="C8" s="10" t="s">
        <v>61</v>
      </c>
      <c r="D8" s="10" t="s">
        <v>62</v>
      </c>
      <c r="E8" s="10" t="s">
        <v>63</v>
      </c>
      <c r="F8" s="10">
        <v>3333</v>
      </c>
      <c r="G8" s="10">
        <v>1237</v>
      </c>
      <c r="H8" s="10">
        <v>1126</v>
      </c>
      <c r="I8" s="10">
        <v>1155</v>
      </c>
      <c r="J8" s="10">
        <v>1115</v>
      </c>
      <c r="K8" s="10">
        <v>2348</v>
      </c>
      <c r="L8" s="10">
        <v>2237</v>
      </c>
      <c r="M8" s="10">
        <v>2266</v>
      </c>
      <c r="N8" s="10">
        <v>2226</v>
      </c>
      <c r="O8" s="10">
        <v>3459</v>
      </c>
      <c r="P8" s="10">
        <v>3348</v>
      </c>
      <c r="Q8" s="10">
        <v>3377</v>
      </c>
      <c r="R8" s="10">
        <v>3337</v>
      </c>
      <c r="S8" s="10">
        <v>4578</v>
      </c>
      <c r="T8" s="10">
        <v>4459</v>
      </c>
      <c r="U8" s="10">
        <v>4488</v>
      </c>
      <c r="V8" s="10">
        <v>4448</v>
      </c>
      <c r="W8" s="10">
        <v>5789</v>
      </c>
      <c r="X8" s="10">
        <v>5578</v>
      </c>
      <c r="Y8" s="10">
        <v>5599</v>
      </c>
      <c r="Z8" s="10">
        <v>5559</v>
      </c>
      <c r="AA8" s="10"/>
      <c r="AB8" s="10">
        <v>6778</v>
      </c>
      <c r="AC8" s="10">
        <v>7799</v>
      </c>
      <c r="AD8" s="10">
        <v>6777</v>
      </c>
      <c r="AF8" s="102"/>
      <c r="AG8" s="9" t="s">
        <v>59</v>
      </c>
      <c r="AH8" s="10" t="s">
        <v>60</v>
      </c>
      <c r="AI8" s="10" t="s">
        <v>61</v>
      </c>
      <c r="AJ8" s="10">
        <v>1237</v>
      </c>
      <c r="AK8" s="10">
        <v>1126</v>
      </c>
      <c r="AL8" s="10">
        <v>2237</v>
      </c>
      <c r="AM8" s="10">
        <v>3459</v>
      </c>
      <c r="AN8" s="46">
        <v>3348</v>
      </c>
      <c r="AO8" s="108"/>
      <c r="AP8" s="77">
        <f t="shared" si="1"/>
        <v>0</v>
      </c>
      <c r="AQ8" s="77">
        <f t="shared" si="0"/>
        <v>0</v>
      </c>
      <c r="AR8" s="77">
        <f t="shared" si="0"/>
        <v>1</v>
      </c>
      <c r="AS8" s="77">
        <f t="shared" si="0"/>
        <v>0</v>
      </c>
      <c r="AT8" s="77">
        <f t="shared" si="0"/>
        <v>0</v>
      </c>
      <c r="AU8" s="77">
        <f t="shared" si="0"/>
        <v>0</v>
      </c>
      <c r="AV8" s="79">
        <f t="shared" si="0"/>
        <v>0</v>
      </c>
      <c r="AX8" s="137"/>
      <c r="AY8" s="58">
        <v>2248</v>
      </c>
      <c r="AZ8" s="58" t="s">
        <v>64</v>
      </c>
      <c r="BA8" s="58" t="s">
        <v>49</v>
      </c>
      <c r="BB8" s="57">
        <v>2356</v>
      </c>
      <c r="BC8" s="59">
        <v>2356</v>
      </c>
      <c r="BD8" s="59" t="s">
        <v>274</v>
      </c>
      <c r="BE8" s="60">
        <v>1457</v>
      </c>
      <c r="BF8" s="59" t="s">
        <v>352</v>
      </c>
      <c r="BG8" s="31"/>
    </row>
    <row r="9" spans="1:59" ht="14.5" customHeight="1" x14ac:dyDescent="0.3">
      <c r="A9" s="9" t="s">
        <v>65</v>
      </c>
      <c r="B9" s="10" t="s">
        <v>66</v>
      </c>
      <c r="C9" s="10" t="s">
        <v>67</v>
      </c>
      <c r="D9" s="10" t="s">
        <v>68</v>
      </c>
      <c r="E9" s="10" t="s">
        <v>69</v>
      </c>
      <c r="F9" s="10">
        <v>4444</v>
      </c>
      <c r="G9" s="10">
        <v>1238</v>
      </c>
      <c r="H9" s="10">
        <v>1127</v>
      </c>
      <c r="I9" s="10">
        <v>1166</v>
      </c>
      <c r="J9" s="10">
        <v>1116</v>
      </c>
      <c r="K9" s="10">
        <v>2349</v>
      </c>
      <c r="L9" s="10">
        <v>2238</v>
      </c>
      <c r="M9" s="10">
        <v>2277</v>
      </c>
      <c r="N9" s="10">
        <v>2227</v>
      </c>
      <c r="O9" s="10">
        <v>3467</v>
      </c>
      <c r="P9" s="10">
        <v>3349</v>
      </c>
      <c r="Q9" s="10">
        <v>3388</v>
      </c>
      <c r="R9" s="10">
        <v>3338</v>
      </c>
      <c r="S9" s="10">
        <v>4579</v>
      </c>
      <c r="T9" s="10">
        <v>4467</v>
      </c>
      <c r="U9" s="10">
        <v>4499</v>
      </c>
      <c r="V9" s="10">
        <v>4449</v>
      </c>
      <c r="W9" s="10"/>
      <c r="X9" s="10">
        <v>5579</v>
      </c>
      <c r="Y9" s="10"/>
      <c r="Z9" s="10">
        <v>5666</v>
      </c>
      <c r="AA9" s="10"/>
      <c r="AB9" s="10">
        <v>6779</v>
      </c>
      <c r="AC9" s="10"/>
      <c r="AD9" s="10">
        <v>6888</v>
      </c>
      <c r="AF9" s="102"/>
      <c r="AG9" s="9" t="s">
        <v>65</v>
      </c>
      <c r="AH9" s="10" t="s">
        <v>66</v>
      </c>
      <c r="AI9" s="10" t="s">
        <v>67</v>
      </c>
      <c r="AJ9" s="10">
        <v>1238</v>
      </c>
      <c r="AK9" s="10">
        <v>1127</v>
      </c>
      <c r="AL9" s="10">
        <v>2238</v>
      </c>
      <c r="AM9" s="10">
        <v>3467</v>
      </c>
      <c r="AN9" s="46">
        <v>3349</v>
      </c>
      <c r="AO9" s="108"/>
      <c r="AP9" s="77">
        <f t="shared" si="1"/>
        <v>0</v>
      </c>
      <c r="AQ9" s="77">
        <f t="shared" si="0"/>
        <v>0</v>
      </c>
      <c r="AR9" s="77">
        <f t="shared" si="0"/>
        <v>1</v>
      </c>
      <c r="AS9" s="77">
        <f t="shared" si="0"/>
        <v>0</v>
      </c>
      <c r="AT9" s="77">
        <f t="shared" si="0"/>
        <v>0</v>
      </c>
      <c r="AU9" s="77">
        <f t="shared" si="0"/>
        <v>1</v>
      </c>
      <c r="AV9" s="79">
        <f t="shared" si="0"/>
        <v>0</v>
      </c>
      <c r="AX9" s="135" t="s">
        <v>70</v>
      </c>
      <c r="AY9" s="58">
        <v>5699</v>
      </c>
      <c r="AZ9" s="58">
        <v>1137</v>
      </c>
      <c r="BA9" s="58" t="s">
        <v>71</v>
      </c>
      <c r="BB9" s="57">
        <v>3679</v>
      </c>
      <c r="BC9" s="59">
        <v>1137</v>
      </c>
      <c r="BD9" s="59">
        <v>4578</v>
      </c>
      <c r="BE9" s="60">
        <v>3568</v>
      </c>
      <c r="BF9" s="59" t="s">
        <v>342</v>
      </c>
      <c r="BG9" s="31"/>
    </row>
    <row r="10" spans="1:59" ht="14.5" customHeight="1" x14ac:dyDescent="0.3">
      <c r="A10" s="9" t="s">
        <v>72</v>
      </c>
      <c r="B10" s="10" t="s">
        <v>73</v>
      </c>
      <c r="C10" s="10" t="s">
        <v>74</v>
      </c>
      <c r="D10" s="10" t="s">
        <v>75</v>
      </c>
      <c r="E10" s="10" t="s">
        <v>76</v>
      </c>
      <c r="F10" s="10">
        <v>5555</v>
      </c>
      <c r="G10" s="10">
        <v>1239</v>
      </c>
      <c r="H10" s="10">
        <v>1128</v>
      </c>
      <c r="I10" s="10">
        <v>1177</v>
      </c>
      <c r="J10" s="10">
        <v>1117</v>
      </c>
      <c r="K10" s="10">
        <v>2356</v>
      </c>
      <c r="L10" s="10">
        <v>2239</v>
      </c>
      <c r="M10" s="10">
        <v>2288</v>
      </c>
      <c r="N10" s="10">
        <v>2228</v>
      </c>
      <c r="O10" s="10">
        <v>3468</v>
      </c>
      <c r="P10" s="10">
        <v>3356</v>
      </c>
      <c r="Q10" s="10">
        <v>3399</v>
      </c>
      <c r="R10" s="10">
        <v>3339</v>
      </c>
      <c r="S10" s="10">
        <v>4589</v>
      </c>
      <c r="T10" s="10">
        <v>4468</v>
      </c>
      <c r="U10" s="10"/>
      <c r="V10" s="10">
        <v>4555</v>
      </c>
      <c r="W10" s="10"/>
      <c r="X10" s="10">
        <v>5589</v>
      </c>
      <c r="Y10" s="10"/>
      <c r="Z10" s="10">
        <v>5777</v>
      </c>
      <c r="AA10" s="10"/>
      <c r="AB10" s="10">
        <v>6788</v>
      </c>
      <c r="AC10" s="10"/>
      <c r="AD10" s="10">
        <v>6999</v>
      </c>
      <c r="AF10" s="102"/>
      <c r="AG10" s="9" t="s">
        <v>72</v>
      </c>
      <c r="AH10" s="10" t="s">
        <v>73</v>
      </c>
      <c r="AI10" s="10" t="s">
        <v>74</v>
      </c>
      <c r="AJ10" s="10">
        <v>1239</v>
      </c>
      <c r="AK10" s="10">
        <v>1128</v>
      </c>
      <c r="AL10" s="10">
        <v>2239</v>
      </c>
      <c r="AM10" s="10">
        <v>3468</v>
      </c>
      <c r="AN10" s="46">
        <v>3356</v>
      </c>
      <c r="AO10" s="108"/>
      <c r="AP10" s="77">
        <f t="shared" si="1"/>
        <v>0</v>
      </c>
      <c r="AQ10" s="77">
        <f t="shared" si="0"/>
        <v>0</v>
      </c>
      <c r="AR10" s="77">
        <f t="shared" si="0"/>
        <v>0</v>
      </c>
      <c r="AS10" s="77">
        <f t="shared" si="0"/>
        <v>0</v>
      </c>
      <c r="AT10" s="77">
        <f t="shared" si="0"/>
        <v>0</v>
      </c>
      <c r="AU10" s="77">
        <f t="shared" si="0"/>
        <v>0</v>
      </c>
      <c r="AV10" s="79">
        <f t="shared" si="0"/>
        <v>0</v>
      </c>
      <c r="AX10" s="136"/>
      <c r="AY10" s="58">
        <v>2356</v>
      </c>
      <c r="AZ10" s="58">
        <v>2446</v>
      </c>
      <c r="BA10" s="58">
        <v>1248</v>
      </c>
      <c r="BB10" s="57">
        <v>1137</v>
      </c>
      <c r="BC10" s="59">
        <v>1335</v>
      </c>
      <c r="BD10" s="59">
        <v>1447</v>
      </c>
      <c r="BE10" s="60" t="s">
        <v>96</v>
      </c>
      <c r="BF10" s="59">
        <v>3889</v>
      </c>
      <c r="BG10" s="31"/>
    </row>
    <row r="11" spans="1:59" ht="14.5" customHeight="1" x14ac:dyDescent="0.3">
      <c r="A11" s="9" t="s">
        <v>77</v>
      </c>
      <c r="B11" s="10" t="s">
        <v>78</v>
      </c>
      <c r="C11" s="10" t="s">
        <v>79</v>
      </c>
      <c r="D11" s="10" t="s">
        <v>80</v>
      </c>
      <c r="E11" s="10" t="s">
        <v>81</v>
      </c>
      <c r="F11" s="10">
        <v>6666</v>
      </c>
      <c r="G11" s="10">
        <v>1245</v>
      </c>
      <c r="H11" s="10">
        <v>1129</v>
      </c>
      <c r="I11" s="10">
        <v>1188</v>
      </c>
      <c r="J11" s="10">
        <v>1118</v>
      </c>
      <c r="K11" s="10">
        <v>2357</v>
      </c>
      <c r="L11" s="10">
        <v>2245</v>
      </c>
      <c r="M11" s="10">
        <v>2299</v>
      </c>
      <c r="N11" s="10">
        <v>2229</v>
      </c>
      <c r="O11" s="10">
        <v>3469</v>
      </c>
      <c r="P11" s="10">
        <v>3357</v>
      </c>
      <c r="Q11" s="10">
        <v>3455</v>
      </c>
      <c r="R11" s="10">
        <v>3444</v>
      </c>
      <c r="S11" s="10">
        <v>4678</v>
      </c>
      <c r="T11" s="10">
        <v>4469</v>
      </c>
      <c r="U11" s="10"/>
      <c r="V11" s="10">
        <v>4666</v>
      </c>
      <c r="W11" s="10"/>
      <c r="X11" s="10">
        <v>5667</v>
      </c>
      <c r="Y11" s="10"/>
      <c r="Z11" s="10">
        <v>5888</v>
      </c>
      <c r="AA11" s="10"/>
      <c r="AB11" s="10">
        <v>6799</v>
      </c>
      <c r="AC11" s="10"/>
      <c r="AD11" s="10"/>
      <c r="AF11" s="102"/>
      <c r="AG11" s="9" t="s">
        <v>77</v>
      </c>
      <c r="AH11" s="10" t="s">
        <v>78</v>
      </c>
      <c r="AI11" s="10" t="s">
        <v>79</v>
      </c>
      <c r="AJ11" s="10">
        <v>1245</v>
      </c>
      <c r="AK11" s="10">
        <v>1129</v>
      </c>
      <c r="AL11" s="10">
        <v>2245</v>
      </c>
      <c r="AM11" s="10">
        <v>3469</v>
      </c>
      <c r="AN11" s="46">
        <v>3357</v>
      </c>
      <c r="AO11" s="108"/>
      <c r="AP11" s="77">
        <f t="shared" si="1"/>
        <v>0</v>
      </c>
      <c r="AQ11" s="77">
        <f t="shared" si="0"/>
        <v>0</v>
      </c>
      <c r="AR11" s="77">
        <f t="shared" si="0"/>
        <v>0</v>
      </c>
      <c r="AS11" s="77">
        <f t="shared" si="0"/>
        <v>0</v>
      </c>
      <c r="AT11" s="77">
        <f t="shared" si="0"/>
        <v>0</v>
      </c>
      <c r="AU11" s="77">
        <f t="shared" si="0"/>
        <v>0</v>
      </c>
      <c r="AV11" s="79">
        <f t="shared" si="0"/>
        <v>0</v>
      </c>
      <c r="AX11" s="136"/>
      <c r="AY11" s="58">
        <v>3679</v>
      </c>
      <c r="AZ11" s="58">
        <v>1339</v>
      </c>
      <c r="BA11" s="58" t="s">
        <v>38</v>
      </c>
      <c r="BB11" s="57" t="s">
        <v>71</v>
      </c>
      <c r="BC11" s="59">
        <v>1344</v>
      </c>
      <c r="BD11" s="59">
        <v>3577</v>
      </c>
      <c r="BE11" s="60">
        <v>1356</v>
      </c>
      <c r="BF11" s="59">
        <v>2367</v>
      </c>
      <c r="BG11" s="31"/>
    </row>
    <row r="12" spans="1:59" ht="14.5" customHeight="1" x14ac:dyDescent="0.3">
      <c r="A12" s="9" t="s">
        <v>82</v>
      </c>
      <c r="B12" s="10" t="s">
        <v>83</v>
      </c>
      <c r="C12" s="10" t="s">
        <v>84</v>
      </c>
      <c r="D12" s="10" t="s">
        <v>85</v>
      </c>
      <c r="E12" s="10" t="s">
        <v>86</v>
      </c>
      <c r="F12" s="10">
        <v>7777</v>
      </c>
      <c r="G12" s="10">
        <v>1246</v>
      </c>
      <c r="H12" s="10">
        <v>1134</v>
      </c>
      <c r="I12" s="10">
        <v>1199</v>
      </c>
      <c r="J12" s="10">
        <v>1119</v>
      </c>
      <c r="K12" s="10">
        <v>2358</v>
      </c>
      <c r="L12" s="10">
        <v>2246</v>
      </c>
      <c r="M12" s="10"/>
      <c r="N12" s="10">
        <v>2333</v>
      </c>
      <c r="O12" s="10">
        <v>3478</v>
      </c>
      <c r="P12" s="10">
        <v>3358</v>
      </c>
      <c r="Q12" s="10"/>
      <c r="R12" s="10">
        <v>3555</v>
      </c>
      <c r="S12" s="10">
        <v>4679</v>
      </c>
      <c r="T12" s="10">
        <v>4478</v>
      </c>
      <c r="U12" s="10"/>
      <c r="V12" s="10">
        <v>4777</v>
      </c>
      <c r="W12" s="10"/>
      <c r="X12" s="10">
        <v>5668</v>
      </c>
      <c r="Y12" s="10"/>
      <c r="Z12" s="10">
        <v>5999</v>
      </c>
      <c r="AA12" s="10"/>
      <c r="AB12" s="10">
        <v>6889</v>
      </c>
      <c r="AC12" s="10"/>
      <c r="AD12" s="10"/>
      <c r="AF12" s="102"/>
      <c r="AG12" s="9" t="s">
        <v>82</v>
      </c>
      <c r="AH12" s="10" t="s">
        <v>83</v>
      </c>
      <c r="AI12" s="10" t="s">
        <v>84</v>
      </c>
      <c r="AJ12" s="10">
        <v>1246</v>
      </c>
      <c r="AK12" s="10">
        <v>1134</v>
      </c>
      <c r="AL12" s="10">
        <v>2246</v>
      </c>
      <c r="AM12" s="10">
        <v>3478</v>
      </c>
      <c r="AN12" s="46">
        <v>3358</v>
      </c>
      <c r="AO12" s="108"/>
      <c r="AP12" s="77">
        <f t="shared" si="1"/>
        <v>0</v>
      </c>
      <c r="AQ12" s="77">
        <f t="shared" si="0"/>
        <v>0</v>
      </c>
      <c r="AR12" s="77">
        <f t="shared" si="0"/>
        <v>1</v>
      </c>
      <c r="AS12" s="77">
        <f t="shared" si="0"/>
        <v>0</v>
      </c>
      <c r="AT12" s="77">
        <f t="shared" si="0"/>
        <v>0</v>
      </c>
      <c r="AU12" s="77">
        <f t="shared" si="0"/>
        <v>0</v>
      </c>
      <c r="AV12" s="79">
        <f t="shared" si="0"/>
        <v>1</v>
      </c>
      <c r="AX12" s="136"/>
      <c r="AY12" s="58" t="s">
        <v>51</v>
      </c>
      <c r="AZ12" s="58">
        <v>3667</v>
      </c>
      <c r="BA12" s="58">
        <v>5588</v>
      </c>
      <c r="BB12" s="57">
        <v>2446</v>
      </c>
      <c r="BC12" s="59">
        <v>2448</v>
      </c>
      <c r="BD12" s="59">
        <v>1238</v>
      </c>
      <c r="BE12" s="60">
        <v>2489</v>
      </c>
      <c r="BF12" s="59" t="s">
        <v>279</v>
      </c>
      <c r="BG12" s="31"/>
    </row>
    <row r="13" spans="1:59" ht="14.5" customHeight="1" x14ac:dyDescent="0.3">
      <c r="A13" s="9" t="s">
        <v>87</v>
      </c>
      <c r="B13" s="10" t="s">
        <v>88</v>
      </c>
      <c r="C13" s="10" t="s">
        <v>89</v>
      </c>
      <c r="D13" s="10" t="s">
        <v>90</v>
      </c>
      <c r="E13" s="10" t="s">
        <v>91</v>
      </c>
      <c r="F13" s="10">
        <v>8888</v>
      </c>
      <c r="G13" s="10">
        <v>1247</v>
      </c>
      <c r="H13" s="10">
        <v>1135</v>
      </c>
      <c r="I13" s="10"/>
      <c r="J13" s="10">
        <v>1222</v>
      </c>
      <c r="K13" s="10">
        <v>2359</v>
      </c>
      <c r="L13" s="10">
        <v>2247</v>
      </c>
      <c r="M13" s="10"/>
      <c r="N13" s="10">
        <v>2444</v>
      </c>
      <c r="O13" s="10">
        <v>3479</v>
      </c>
      <c r="P13" s="10">
        <v>3359</v>
      </c>
      <c r="Q13" s="10"/>
      <c r="R13" s="10">
        <v>3666</v>
      </c>
      <c r="S13" s="10">
        <v>4689</v>
      </c>
      <c r="T13" s="10">
        <v>4479</v>
      </c>
      <c r="U13" s="10"/>
      <c r="V13" s="10">
        <v>4888</v>
      </c>
      <c r="W13" s="10"/>
      <c r="X13" s="10">
        <v>5669</v>
      </c>
      <c r="Y13" s="10"/>
      <c r="Z13" s="10"/>
      <c r="AA13" s="10"/>
      <c r="AB13" s="10">
        <v>6899</v>
      </c>
      <c r="AC13" s="10"/>
      <c r="AD13" s="10"/>
      <c r="AF13" s="102"/>
      <c r="AG13" s="9" t="s">
        <v>87</v>
      </c>
      <c r="AH13" s="10" t="s">
        <v>88</v>
      </c>
      <c r="AI13" s="10" t="s">
        <v>89</v>
      </c>
      <c r="AJ13" s="10">
        <v>1247</v>
      </c>
      <c r="AK13" s="10">
        <v>1135</v>
      </c>
      <c r="AL13" s="10">
        <v>2247</v>
      </c>
      <c r="AM13" s="10">
        <v>3479</v>
      </c>
      <c r="AN13" s="46">
        <v>3359</v>
      </c>
      <c r="AO13" s="108"/>
      <c r="AP13" s="77">
        <f t="shared" si="1"/>
        <v>1</v>
      </c>
      <c r="AQ13" s="77">
        <f t="shared" si="0"/>
        <v>0</v>
      </c>
      <c r="AR13" s="77">
        <f t="shared" si="0"/>
        <v>0</v>
      </c>
      <c r="AS13" s="77">
        <f t="shared" si="0"/>
        <v>0</v>
      </c>
      <c r="AT13" s="77">
        <f t="shared" si="0"/>
        <v>0</v>
      </c>
      <c r="AU13" s="77">
        <f t="shared" si="0"/>
        <v>0</v>
      </c>
      <c r="AV13" s="79">
        <f t="shared" si="0"/>
        <v>0</v>
      </c>
      <c r="AX13" s="136"/>
      <c r="AY13" s="58">
        <v>1445</v>
      </c>
      <c r="AZ13" s="58">
        <v>2568</v>
      </c>
      <c r="BA13" s="58">
        <v>6678</v>
      </c>
      <c r="BB13" s="57" t="s">
        <v>38</v>
      </c>
      <c r="BC13" s="59">
        <v>3679</v>
      </c>
      <c r="BD13" s="59">
        <v>2456</v>
      </c>
      <c r="BE13" s="60">
        <v>1248</v>
      </c>
      <c r="BF13" s="59" t="s">
        <v>102</v>
      </c>
      <c r="BG13" s="31"/>
    </row>
    <row r="14" spans="1:59" ht="14.5" customHeight="1" x14ac:dyDescent="0.3">
      <c r="A14" s="9" t="s">
        <v>92</v>
      </c>
      <c r="B14" s="10" t="s">
        <v>93</v>
      </c>
      <c r="C14" s="10" t="s">
        <v>94</v>
      </c>
      <c r="D14" s="10">
        <v>7788</v>
      </c>
      <c r="E14" s="10" t="s">
        <v>95</v>
      </c>
      <c r="F14" s="10">
        <v>9999</v>
      </c>
      <c r="G14" s="10">
        <v>1248</v>
      </c>
      <c r="H14" s="10">
        <v>1136</v>
      </c>
      <c r="I14" s="10"/>
      <c r="J14" s="10">
        <v>1333</v>
      </c>
      <c r="K14" s="10">
        <v>2367</v>
      </c>
      <c r="L14" s="10">
        <v>2248</v>
      </c>
      <c r="M14" s="10"/>
      <c r="N14" s="10">
        <v>2555</v>
      </c>
      <c r="O14" s="10">
        <v>3489</v>
      </c>
      <c r="P14" s="10">
        <v>3367</v>
      </c>
      <c r="Q14" s="10"/>
      <c r="R14" s="10">
        <v>3777</v>
      </c>
      <c r="S14" s="10">
        <v>4789</v>
      </c>
      <c r="T14" s="10">
        <v>4489</v>
      </c>
      <c r="U14" s="10"/>
      <c r="V14" s="10">
        <v>4999</v>
      </c>
      <c r="W14" s="10"/>
      <c r="X14" s="10">
        <v>5677</v>
      </c>
      <c r="Y14" s="10"/>
      <c r="Z14" s="10"/>
      <c r="AA14" s="10"/>
      <c r="AB14" s="10">
        <v>7789</v>
      </c>
      <c r="AC14" s="10"/>
      <c r="AD14" s="10"/>
      <c r="AF14" s="102"/>
      <c r="AG14" s="9" t="s">
        <v>92</v>
      </c>
      <c r="AH14" s="10" t="s">
        <v>93</v>
      </c>
      <c r="AI14" s="10" t="s">
        <v>94</v>
      </c>
      <c r="AJ14" s="10">
        <v>1248</v>
      </c>
      <c r="AK14" s="10">
        <v>1136</v>
      </c>
      <c r="AL14" s="10">
        <v>2248</v>
      </c>
      <c r="AM14" s="10">
        <v>3489</v>
      </c>
      <c r="AN14" s="46">
        <v>3367</v>
      </c>
      <c r="AO14" s="108"/>
      <c r="AP14" s="77">
        <f t="shared" si="1"/>
        <v>0</v>
      </c>
      <c r="AQ14" s="77">
        <f t="shared" si="0"/>
        <v>1</v>
      </c>
      <c r="AR14" s="77">
        <f t="shared" si="0"/>
        <v>3</v>
      </c>
      <c r="AS14" s="77">
        <f t="shared" si="0"/>
        <v>0</v>
      </c>
      <c r="AT14" s="77">
        <f t="shared" si="0"/>
        <v>0</v>
      </c>
      <c r="AU14" s="77">
        <f t="shared" si="0"/>
        <v>0</v>
      </c>
      <c r="AV14" s="79">
        <f t="shared" si="0"/>
        <v>0</v>
      </c>
      <c r="AX14" s="136"/>
      <c r="AY14" s="58" t="s">
        <v>96</v>
      </c>
      <c r="AZ14" s="58">
        <v>1344</v>
      </c>
      <c r="BA14" s="58" t="s">
        <v>97</v>
      </c>
      <c r="BB14" s="57">
        <v>5588</v>
      </c>
      <c r="BC14" s="59">
        <v>5588</v>
      </c>
      <c r="BD14" s="59">
        <v>5789</v>
      </c>
      <c r="BE14" s="60">
        <v>1347</v>
      </c>
      <c r="BF14" s="59">
        <v>2368</v>
      </c>
      <c r="BG14" s="31"/>
    </row>
    <row r="15" spans="1:59" ht="14.5" customHeight="1" x14ac:dyDescent="0.3">
      <c r="A15" s="9" t="s">
        <v>98</v>
      </c>
      <c r="B15" s="10" t="s">
        <v>99</v>
      </c>
      <c r="C15" s="10" t="s">
        <v>100</v>
      </c>
      <c r="D15" s="10">
        <v>8899</v>
      </c>
      <c r="E15" s="10" t="s">
        <v>101</v>
      </c>
      <c r="F15" s="10"/>
      <c r="G15" s="10">
        <v>1249</v>
      </c>
      <c r="H15" s="10">
        <v>1137</v>
      </c>
      <c r="I15" s="10"/>
      <c r="J15" s="10">
        <v>1444</v>
      </c>
      <c r="K15" s="10">
        <v>2368</v>
      </c>
      <c r="L15" s="10">
        <v>2249</v>
      </c>
      <c r="M15" s="10"/>
      <c r="N15" s="10">
        <v>2666</v>
      </c>
      <c r="O15" s="10">
        <v>3567</v>
      </c>
      <c r="P15" s="10">
        <v>3368</v>
      </c>
      <c r="Q15" s="10"/>
      <c r="R15" s="10">
        <v>3888</v>
      </c>
      <c r="S15" s="10"/>
      <c r="T15" s="10">
        <v>4556</v>
      </c>
      <c r="U15" s="10"/>
      <c r="V15" s="10"/>
      <c r="W15" s="10"/>
      <c r="X15" s="10">
        <v>5688</v>
      </c>
      <c r="Y15" s="10"/>
      <c r="Z15" s="10"/>
      <c r="AA15" s="10"/>
      <c r="AB15" s="10">
        <v>7889</v>
      </c>
      <c r="AC15" s="10"/>
      <c r="AD15" s="10"/>
      <c r="AF15" s="102"/>
      <c r="AG15" s="9" t="s">
        <v>98</v>
      </c>
      <c r="AH15" s="10" t="s">
        <v>99</v>
      </c>
      <c r="AI15" s="10" t="s">
        <v>100</v>
      </c>
      <c r="AJ15" s="10">
        <v>1249</v>
      </c>
      <c r="AK15" s="10">
        <v>1137</v>
      </c>
      <c r="AL15" s="10">
        <v>2249</v>
      </c>
      <c r="AM15" s="10">
        <v>3567</v>
      </c>
      <c r="AN15" s="46">
        <v>3368</v>
      </c>
      <c r="AO15" s="108"/>
      <c r="AP15" s="77">
        <f t="shared" si="1"/>
        <v>0</v>
      </c>
      <c r="AQ15" s="77">
        <f t="shared" si="0"/>
        <v>0</v>
      </c>
      <c r="AR15" s="77">
        <f t="shared" si="0"/>
        <v>0</v>
      </c>
      <c r="AS15" s="77">
        <f t="shared" si="0"/>
        <v>4</v>
      </c>
      <c r="AT15" s="77">
        <f t="shared" si="0"/>
        <v>0</v>
      </c>
      <c r="AU15" s="77">
        <f t="shared" si="0"/>
        <v>0</v>
      </c>
      <c r="AV15" s="79">
        <f t="shared" si="0"/>
        <v>0</v>
      </c>
      <c r="AX15" s="136"/>
      <c r="AY15" s="58" t="s">
        <v>102</v>
      </c>
      <c r="AZ15" s="58">
        <v>2337</v>
      </c>
      <c r="BA15" s="58">
        <v>6667</v>
      </c>
      <c r="BB15" s="57">
        <v>6678</v>
      </c>
      <c r="BC15" s="59" t="s">
        <v>103</v>
      </c>
      <c r="BD15" s="59" t="s">
        <v>307</v>
      </c>
      <c r="BE15" s="60">
        <v>1456</v>
      </c>
      <c r="BF15" s="59">
        <v>3455</v>
      </c>
      <c r="BG15" s="31"/>
    </row>
    <row r="16" spans="1:59" ht="15" customHeight="1" thickBot="1" x14ac:dyDescent="0.35">
      <c r="A16" s="9" t="s">
        <v>104</v>
      </c>
      <c r="B16" s="10" t="s">
        <v>105</v>
      </c>
      <c r="C16" s="10" t="s">
        <v>106</v>
      </c>
      <c r="D16" s="10"/>
      <c r="E16" s="10" t="s">
        <v>107</v>
      </c>
      <c r="F16" s="10"/>
      <c r="G16" s="10">
        <v>1256</v>
      </c>
      <c r="H16" s="10">
        <v>1138</v>
      </c>
      <c r="I16" s="10"/>
      <c r="J16" s="10">
        <v>1555</v>
      </c>
      <c r="K16" s="10">
        <v>2369</v>
      </c>
      <c r="L16" s="10">
        <v>2256</v>
      </c>
      <c r="M16" s="10"/>
      <c r="N16" s="10">
        <v>2777</v>
      </c>
      <c r="O16" s="10">
        <v>3568</v>
      </c>
      <c r="P16" s="10">
        <v>3369</v>
      </c>
      <c r="Q16" s="10"/>
      <c r="R16" s="10">
        <v>3999</v>
      </c>
      <c r="S16" s="10"/>
      <c r="T16" s="10">
        <v>4557</v>
      </c>
      <c r="U16" s="10"/>
      <c r="V16" s="10"/>
      <c r="W16" s="10"/>
      <c r="X16" s="10">
        <v>5699</v>
      </c>
      <c r="Y16" s="10"/>
      <c r="Z16" s="10"/>
      <c r="AA16" s="10"/>
      <c r="AB16" s="10">
        <v>7899</v>
      </c>
      <c r="AC16" s="10"/>
      <c r="AD16" s="10"/>
      <c r="AF16" s="103"/>
      <c r="AG16" s="41" t="s">
        <v>104</v>
      </c>
      <c r="AH16" s="42" t="s">
        <v>105</v>
      </c>
      <c r="AI16" s="42" t="s">
        <v>106</v>
      </c>
      <c r="AJ16" s="42">
        <v>1256</v>
      </c>
      <c r="AK16" s="42">
        <v>1138</v>
      </c>
      <c r="AL16" s="42">
        <v>2256</v>
      </c>
      <c r="AM16" s="42">
        <v>3568</v>
      </c>
      <c r="AN16" s="47">
        <v>3369</v>
      </c>
      <c r="AO16" s="109"/>
      <c r="AP16" s="80">
        <f t="shared" si="1"/>
        <v>0</v>
      </c>
      <c r="AQ16" s="80">
        <f t="shared" si="0"/>
        <v>1</v>
      </c>
      <c r="AR16" s="80">
        <f t="shared" si="0"/>
        <v>0</v>
      </c>
      <c r="AS16" s="80">
        <f t="shared" si="0"/>
        <v>0</v>
      </c>
      <c r="AT16" s="80">
        <f t="shared" si="0"/>
        <v>0</v>
      </c>
      <c r="AU16" s="80">
        <f t="shared" si="0"/>
        <v>3</v>
      </c>
      <c r="AV16" s="81">
        <f t="shared" si="0"/>
        <v>0</v>
      </c>
      <c r="AX16" s="136"/>
      <c r="AY16" s="58" t="s">
        <v>108</v>
      </c>
      <c r="AZ16" s="58">
        <v>2489</v>
      </c>
      <c r="BA16" s="58" t="s">
        <v>109</v>
      </c>
      <c r="BB16" s="57" t="s">
        <v>96</v>
      </c>
      <c r="BC16" s="59" t="s">
        <v>71</v>
      </c>
      <c r="BD16" s="59" t="s">
        <v>195</v>
      </c>
      <c r="BE16" s="60">
        <v>2446</v>
      </c>
      <c r="BF16" s="59">
        <v>3379</v>
      </c>
      <c r="BG16" s="31"/>
    </row>
    <row r="17" spans="1:59" ht="16" x14ac:dyDescent="0.3">
      <c r="A17" s="9" t="s">
        <v>110</v>
      </c>
      <c r="B17" s="10" t="s">
        <v>111</v>
      </c>
      <c r="C17" s="10" t="s">
        <v>108</v>
      </c>
      <c r="D17" s="10"/>
      <c r="E17" s="10" t="s">
        <v>112</v>
      </c>
      <c r="F17" s="10"/>
      <c r="G17" s="10">
        <v>1257</v>
      </c>
      <c r="H17" s="10">
        <v>1139</v>
      </c>
      <c r="I17" s="10"/>
      <c r="J17" s="10">
        <v>1666</v>
      </c>
      <c r="K17" s="10">
        <v>2378</v>
      </c>
      <c r="L17" s="10">
        <v>2257</v>
      </c>
      <c r="M17" s="10"/>
      <c r="N17" s="10">
        <v>2888</v>
      </c>
      <c r="O17" s="10">
        <v>3569</v>
      </c>
      <c r="P17" s="10">
        <v>3378</v>
      </c>
      <c r="Q17" s="10"/>
      <c r="R17" s="10"/>
      <c r="S17" s="10"/>
      <c r="T17" s="10">
        <v>4558</v>
      </c>
      <c r="U17" s="10"/>
      <c r="V17" s="10"/>
      <c r="W17" s="10"/>
      <c r="X17" s="10">
        <v>5778</v>
      </c>
      <c r="Y17" s="10"/>
      <c r="Z17" s="10"/>
      <c r="AA17" s="10"/>
      <c r="AB17" s="10"/>
      <c r="AC17" s="10"/>
      <c r="AD17" s="10"/>
      <c r="AF17" s="101" t="s">
        <v>435</v>
      </c>
      <c r="AG17" s="39" t="s">
        <v>110</v>
      </c>
      <c r="AH17" s="40" t="s">
        <v>111</v>
      </c>
      <c r="AI17" s="40" t="s">
        <v>108</v>
      </c>
      <c r="AJ17" s="40">
        <v>1257</v>
      </c>
      <c r="AK17" s="40">
        <v>1139</v>
      </c>
      <c r="AL17" s="40">
        <v>2257</v>
      </c>
      <c r="AM17" s="40">
        <v>3569</v>
      </c>
      <c r="AN17" s="48">
        <v>3378</v>
      </c>
      <c r="AO17" s="107">
        <f t="shared" ref="AO17" si="2">SUM(AP17:AV28)</f>
        <v>16</v>
      </c>
      <c r="AP17" s="75">
        <f t="shared" si="1"/>
        <v>0</v>
      </c>
      <c r="AQ17" s="75">
        <f t="shared" si="0"/>
        <v>0</v>
      </c>
      <c r="AR17" s="75">
        <f t="shared" si="0"/>
        <v>0</v>
      </c>
      <c r="AS17" s="75">
        <f t="shared" si="0"/>
        <v>0</v>
      </c>
      <c r="AT17" s="75">
        <f t="shared" si="0"/>
        <v>0</v>
      </c>
      <c r="AU17" s="75">
        <f t="shared" si="0"/>
        <v>0</v>
      </c>
      <c r="AV17" s="76">
        <f t="shared" si="0"/>
        <v>0</v>
      </c>
      <c r="AX17" s="136"/>
      <c r="AY17" s="58">
        <v>1347</v>
      </c>
      <c r="AZ17" s="58">
        <v>1668</v>
      </c>
      <c r="BA17" s="58" t="s">
        <v>113</v>
      </c>
      <c r="BB17" s="57">
        <v>1344</v>
      </c>
      <c r="BC17" s="59">
        <v>2446</v>
      </c>
      <c r="BD17" s="59">
        <v>1488</v>
      </c>
      <c r="BE17" s="60">
        <v>1679</v>
      </c>
      <c r="BF17" s="59">
        <v>3457</v>
      </c>
      <c r="BG17" s="31"/>
    </row>
    <row r="18" spans="1:59" ht="16" x14ac:dyDescent="0.3">
      <c r="A18" s="9" t="s">
        <v>114</v>
      </c>
      <c r="B18" s="10" t="s">
        <v>115</v>
      </c>
      <c r="C18" s="10" t="s">
        <v>116</v>
      </c>
      <c r="D18" s="10"/>
      <c r="E18" s="10" t="s">
        <v>117</v>
      </c>
      <c r="F18" s="10"/>
      <c r="G18" s="10">
        <v>1258</v>
      </c>
      <c r="H18" s="10">
        <v>1145</v>
      </c>
      <c r="I18" s="10"/>
      <c r="J18" s="10">
        <v>1777</v>
      </c>
      <c r="K18" s="10">
        <v>2379</v>
      </c>
      <c r="L18" s="10">
        <v>2258</v>
      </c>
      <c r="M18" s="10"/>
      <c r="N18" s="10">
        <v>2999</v>
      </c>
      <c r="O18" s="10">
        <v>3578</v>
      </c>
      <c r="P18" s="10">
        <v>3379</v>
      </c>
      <c r="Q18" s="10"/>
      <c r="R18" s="10"/>
      <c r="S18" s="10"/>
      <c r="T18" s="10">
        <v>4559</v>
      </c>
      <c r="U18" s="10"/>
      <c r="V18" s="10"/>
      <c r="W18" s="10"/>
      <c r="X18" s="10">
        <v>5779</v>
      </c>
      <c r="Y18" s="10"/>
      <c r="Z18" s="10"/>
      <c r="AA18" s="10"/>
      <c r="AB18" s="10"/>
      <c r="AC18" s="10"/>
      <c r="AD18" s="10"/>
      <c r="AF18" s="102"/>
      <c r="AG18" s="9" t="s">
        <v>114</v>
      </c>
      <c r="AH18" s="10" t="s">
        <v>115</v>
      </c>
      <c r="AI18" s="10" t="s">
        <v>116</v>
      </c>
      <c r="AJ18" s="10">
        <v>1258</v>
      </c>
      <c r="AK18" s="10">
        <v>1145</v>
      </c>
      <c r="AL18" s="10">
        <v>2258</v>
      </c>
      <c r="AM18" s="10">
        <v>3578</v>
      </c>
      <c r="AN18" s="46">
        <v>3379</v>
      </c>
      <c r="AO18" s="108"/>
      <c r="AP18" s="77">
        <f t="shared" si="1"/>
        <v>0</v>
      </c>
      <c r="AQ18" s="77">
        <f t="shared" si="0"/>
        <v>0</v>
      </c>
      <c r="AR18" s="77">
        <f t="shared" si="0"/>
        <v>1</v>
      </c>
      <c r="AS18" s="77">
        <f t="shared" si="0"/>
        <v>0</v>
      </c>
      <c r="AT18" s="77">
        <f t="shared" si="0"/>
        <v>0</v>
      </c>
      <c r="AU18" s="77">
        <f t="shared" si="0"/>
        <v>0</v>
      </c>
      <c r="AV18" s="79">
        <f t="shared" si="0"/>
        <v>1</v>
      </c>
      <c r="AX18" s="137"/>
      <c r="AY18" s="58">
        <v>5689</v>
      </c>
      <c r="AZ18" s="58">
        <v>1367</v>
      </c>
      <c r="BA18" s="58">
        <v>1356</v>
      </c>
      <c r="BB18" s="57">
        <v>6667</v>
      </c>
      <c r="BC18" s="59">
        <v>2489</v>
      </c>
      <c r="BD18" s="59">
        <v>2378</v>
      </c>
      <c r="BE18" s="60">
        <v>5699</v>
      </c>
      <c r="BF18" s="59">
        <v>2278</v>
      </c>
      <c r="BG18" s="31"/>
    </row>
    <row r="19" spans="1:59" ht="16" x14ac:dyDescent="0.3">
      <c r="A19" s="9" t="s">
        <v>118</v>
      </c>
      <c r="B19" s="10" t="s">
        <v>119</v>
      </c>
      <c r="C19" s="10" t="s">
        <v>120</v>
      </c>
      <c r="D19" s="10"/>
      <c r="E19" s="10" t="s">
        <v>121</v>
      </c>
      <c r="F19" s="10"/>
      <c r="G19" s="10">
        <v>1259</v>
      </c>
      <c r="H19" s="10">
        <v>1146</v>
      </c>
      <c r="I19" s="10"/>
      <c r="J19" s="10">
        <v>1888</v>
      </c>
      <c r="K19" s="10">
        <v>2389</v>
      </c>
      <c r="L19" s="10">
        <v>2259</v>
      </c>
      <c r="M19" s="10"/>
      <c r="N19" s="10"/>
      <c r="O19" s="10">
        <v>3579</v>
      </c>
      <c r="P19" s="10">
        <v>3389</v>
      </c>
      <c r="Q19" s="10"/>
      <c r="R19" s="10"/>
      <c r="S19" s="10"/>
      <c r="T19" s="10">
        <v>4566</v>
      </c>
      <c r="U19" s="10"/>
      <c r="V19" s="10"/>
      <c r="W19" s="10"/>
      <c r="X19" s="10">
        <v>5788</v>
      </c>
      <c r="Y19" s="10"/>
      <c r="Z19" s="10"/>
      <c r="AA19" s="10"/>
      <c r="AB19" s="10"/>
      <c r="AC19" s="10"/>
      <c r="AD19" s="10"/>
      <c r="AF19" s="102"/>
      <c r="AG19" s="9" t="s">
        <v>118</v>
      </c>
      <c r="AH19" s="10" t="s">
        <v>119</v>
      </c>
      <c r="AI19" s="10" t="s">
        <v>120</v>
      </c>
      <c r="AJ19" s="10">
        <v>1259</v>
      </c>
      <c r="AK19" s="10">
        <v>1146</v>
      </c>
      <c r="AL19" s="10">
        <v>2259</v>
      </c>
      <c r="AM19" s="10">
        <v>3579</v>
      </c>
      <c r="AN19" s="46">
        <v>3389</v>
      </c>
      <c r="AO19" s="108"/>
      <c r="AP19" s="77">
        <f t="shared" si="1"/>
        <v>0</v>
      </c>
      <c r="AQ19" s="77">
        <f t="shared" si="0"/>
        <v>1</v>
      </c>
      <c r="AR19" s="77">
        <f t="shared" si="0"/>
        <v>0</v>
      </c>
      <c r="AS19" s="77">
        <f t="shared" si="0"/>
        <v>0</v>
      </c>
      <c r="AT19" s="77">
        <f t="shared" si="0"/>
        <v>0</v>
      </c>
      <c r="AU19" s="77">
        <f t="shared" si="0"/>
        <v>0</v>
      </c>
      <c r="AV19" s="79">
        <f t="shared" si="0"/>
        <v>0</v>
      </c>
      <c r="AX19" s="135" t="s">
        <v>122</v>
      </c>
      <c r="AY19" s="58">
        <v>1679</v>
      </c>
      <c r="AZ19" s="58" t="s">
        <v>49</v>
      </c>
      <c r="BA19" s="58">
        <v>2356</v>
      </c>
      <c r="BB19" s="57">
        <v>2489</v>
      </c>
      <c r="BC19" s="59">
        <v>1347</v>
      </c>
      <c r="BD19" s="59" t="s">
        <v>215</v>
      </c>
      <c r="BE19" s="60" t="s">
        <v>103</v>
      </c>
      <c r="BF19" s="59">
        <v>7899</v>
      </c>
      <c r="BG19" s="31"/>
    </row>
    <row r="20" spans="1:59" ht="16" x14ac:dyDescent="0.3">
      <c r="A20" s="9" t="s">
        <v>123</v>
      </c>
      <c r="B20" s="10" t="s">
        <v>124</v>
      </c>
      <c r="C20" s="10" t="s">
        <v>125</v>
      </c>
      <c r="D20" s="10"/>
      <c r="E20" s="10" t="s">
        <v>126</v>
      </c>
      <c r="F20" s="10"/>
      <c r="G20" s="10">
        <v>1267</v>
      </c>
      <c r="H20" s="10">
        <v>1147</v>
      </c>
      <c r="I20" s="10"/>
      <c r="J20" s="10">
        <v>1999</v>
      </c>
      <c r="K20" s="10">
        <v>2456</v>
      </c>
      <c r="L20" s="10">
        <v>2267</v>
      </c>
      <c r="M20" s="10"/>
      <c r="N20" s="10"/>
      <c r="O20" s="10">
        <v>3589</v>
      </c>
      <c r="P20" s="10">
        <v>3445</v>
      </c>
      <c r="Q20" s="10"/>
      <c r="R20" s="10"/>
      <c r="S20" s="10"/>
      <c r="T20" s="10">
        <v>4577</v>
      </c>
      <c r="U20" s="10"/>
      <c r="V20" s="10"/>
      <c r="W20" s="10"/>
      <c r="X20" s="10">
        <v>5799</v>
      </c>
      <c r="Y20" s="10"/>
      <c r="Z20" s="10"/>
      <c r="AA20" s="10"/>
      <c r="AB20" s="10"/>
      <c r="AC20" s="10"/>
      <c r="AD20" s="10"/>
      <c r="AF20" s="102"/>
      <c r="AG20" s="9" t="s">
        <v>123</v>
      </c>
      <c r="AH20" s="10" t="s">
        <v>124</v>
      </c>
      <c r="AI20" s="10" t="s">
        <v>125</v>
      </c>
      <c r="AJ20" s="10">
        <v>1267</v>
      </c>
      <c r="AK20" s="10">
        <v>1147</v>
      </c>
      <c r="AL20" s="10">
        <v>2267</v>
      </c>
      <c r="AM20" s="10">
        <v>3589</v>
      </c>
      <c r="AN20" s="46">
        <v>3445</v>
      </c>
      <c r="AO20" s="108"/>
      <c r="AP20" s="77">
        <f t="shared" si="1"/>
        <v>0</v>
      </c>
      <c r="AQ20" s="77">
        <f t="shared" si="0"/>
        <v>0</v>
      </c>
      <c r="AR20" s="77">
        <f t="shared" si="0"/>
        <v>0</v>
      </c>
      <c r="AS20" s="77">
        <f t="shared" si="0"/>
        <v>0</v>
      </c>
      <c r="AT20" s="77">
        <f t="shared" si="0"/>
        <v>0</v>
      </c>
      <c r="AU20" s="77">
        <f t="shared" si="0"/>
        <v>0</v>
      </c>
      <c r="AV20" s="79">
        <f t="shared" si="0"/>
        <v>0</v>
      </c>
      <c r="AX20" s="136"/>
      <c r="AY20" s="58">
        <v>5578</v>
      </c>
      <c r="AZ20" s="58">
        <v>1356</v>
      </c>
      <c r="BA20" s="58">
        <v>1355</v>
      </c>
      <c r="BB20" s="57">
        <v>5699</v>
      </c>
      <c r="BC20" s="59">
        <v>1457</v>
      </c>
      <c r="BD20" s="59">
        <v>3467</v>
      </c>
      <c r="BE20" s="60">
        <v>1137</v>
      </c>
      <c r="BF20" s="59">
        <v>4579</v>
      </c>
      <c r="BG20" s="31"/>
    </row>
    <row r="21" spans="1:59" ht="16" x14ac:dyDescent="0.3">
      <c r="A21" s="9" t="s">
        <v>127</v>
      </c>
      <c r="B21" s="10" t="s">
        <v>128</v>
      </c>
      <c r="C21" s="10" t="s">
        <v>129</v>
      </c>
      <c r="D21" s="10"/>
      <c r="E21" s="10" t="s">
        <v>130</v>
      </c>
      <c r="F21" s="10"/>
      <c r="G21" s="10">
        <v>1268</v>
      </c>
      <c r="H21" s="10">
        <v>1148</v>
      </c>
      <c r="I21" s="10"/>
      <c r="J21" s="10"/>
      <c r="K21" s="10">
        <v>2457</v>
      </c>
      <c r="L21" s="10">
        <v>2268</v>
      </c>
      <c r="M21" s="10"/>
      <c r="N21" s="10"/>
      <c r="O21" s="10">
        <v>3678</v>
      </c>
      <c r="P21" s="10">
        <v>3446</v>
      </c>
      <c r="Q21" s="10"/>
      <c r="R21" s="10"/>
      <c r="S21" s="10"/>
      <c r="T21" s="10">
        <v>4588</v>
      </c>
      <c r="U21" s="10"/>
      <c r="V21" s="10"/>
      <c r="W21" s="10"/>
      <c r="X21" s="10">
        <v>5889</v>
      </c>
      <c r="Y21" s="10"/>
      <c r="Z21" s="10"/>
      <c r="AA21" s="10"/>
      <c r="AB21" s="10"/>
      <c r="AC21" s="10"/>
      <c r="AD21" s="10"/>
      <c r="AF21" s="102"/>
      <c r="AG21" s="9" t="s">
        <v>127</v>
      </c>
      <c r="AH21" s="10" t="s">
        <v>128</v>
      </c>
      <c r="AI21" s="10" t="s">
        <v>129</v>
      </c>
      <c r="AJ21" s="10">
        <v>1268</v>
      </c>
      <c r="AK21" s="10">
        <v>1148</v>
      </c>
      <c r="AL21" s="10">
        <v>2268</v>
      </c>
      <c r="AM21" s="10">
        <v>3678</v>
      </c>
      <c r="AN21" s="46">
        <v>3446</v>
      </c>
      <c r="AO21" s="108"/>
      <c r="AP21" s="77">
        <f t="shared" si="1"/>
        <v>0</v>
      </c>
      <c r="AQ21" s="77">
        <f t="shared" si="1"/>
        <v>0</v>
      </c>
      <c r="AR21" s="77">
        <f t="shared" si="1"/>
        <v>0</v>
      </c>
      <c r="AS21" s="77">
        <f t="shared" si="1"/>
        <v>0</v>
      </c>
      <c r="AT21" s="77">
        <f t="shared" si="1"/>
        <v>0</v>
      </c>
      <c r="AU21" s="77">
        <f t="shared" si="1"/>
        <v>0</v>
      </c>
      <c r="AV21" s="79">
        <f t="shared" si="1"/>
        <v>0</v>
      </c>
      <c r="AX21" s="136"/>
      <c r="AY21" s="58">
        <v>1344</v>
      </c>
      <c r="AZ21" s="58" t="s">
        <v>94</v>
      </c>
      <c r="BA21" s="58" t="s">
        <v>106</v>
      </c>
      <c r="BB21" s="57">
        <v>1356</v>
      </c>
      <c r="BC21" s="59">
        <v>1679</v>
      </c>
      <c r="BD21" s="59">
        <v>4469</v>
      </c>
      <c r="BE21" s="60">
        <v>3679</v>
      </c>
      <c r="BF21" s="59">
        <v>1578</v>
      </c>
      <c r="BG21" s="31"/>
    </row>
    <row r="22" spans="1:59" ht="16" x14ac:dyDescent="0.3">
      <c r="A22" s="9" t="s">
        <v>131</v>
      </c>
      <c r="B22" s="10" t="s">
        <v>132</v>
      </c>
      <c r="C22" s="10" t="s">
        <v>133</v>
      </c>
      <c r="D22" s="10"/>
      <c r="E22" s="10" t="s">
        <v>134</v>
      </c>
      <c r="F22" s="10"/>
      <c r="G22" s="10">
        <v>1269</v>
      </c>
      <c r="H22" s="10">
        <v>1149</v>
      </c>
      <c r="I22" s="10"/>
      <c r="J22" s="10"/>
      <c r="K22" s="10">
        <v>2458</v>
      </c>
      <c r="L22" s="10">
        <v>2269</v>
      </c>
      <c r="M22" s="10"/>
      <c r="N22" s="10"/>
      <c r="O22" s="10">
        <v>3679</v>
      </c>
      <c r="P22" s="10">
        <v>3447</v>
      </c>
      <c r="Q22" s="10"/>
      <c r="R22" s="10"/>
      <c r="S22" s="10"/>
      <c r="T22" s="10">
        <v>4599</v>
      </c>
      <c r="U22" s="10"/>
      <c r="V22" s="10"/>
      <c r="W22" s="10"/>
      <c r="X22" s="10">
        <v>5899</v>
      </c>
      <c r="Y22" s="10"/>
      <c r="Z22" s="10"/>
      <c r="AA22" s="10"/>
      <c r="AB22" s="10"/>
      <c r="AC22" s="10"/>
      <c r="AD22" s="10"/>
      <c r="AF22" s="102"/>
      <c r="AG22" s="9" t="s">
        <v>131</v>
      </c>
      <c r="AH22" s="10" t="s">
        <v>132</v>
      </c>
      <c r="AI22" s="10" t="s">
        <v>133</v>
      </c>
      <c r="AJ22" s="10">
        <v>1269</v>
      </c>
      <c r="AK22" s="10">
        <v>1149</v>
      </c>
      <c r="AL22" s="10">
        <v>2269</v>
      </c>
      <c r="AM22" s="10">
        <v>3679</v>
      </c>
      <c r="AN22" s="46">
        <v>3447</v>
      </c>
      <c r="AO22" s="108"/>
      <c r="AP22" s="77">
        <f t="shared" ref="AP22:AV58" si="3">COUNTIF($AZ$6:$FT$28,AH22)</f>
        <v>0</v>
      </c>
      <c r="AQ22" s="77">
        <f t="shared" si="3"/>
        <v>0</v>
      </c>
      <c r="AR22" s="77">
        <f t="shared" si="3"/>
        <v>0</v>
      </c>
      <c r="AS22" s="77">
        <f t="shared" si="3"/>
        <v>0</v>
      </c>
      <c r="AT22" s="77">
        <f t="shared" si="3"/>
        <v>0</v>
      </c>
      <c r="AU22" s="77">
        <f t="shared" si="3"/>
        <v>4</v>
      </c>
      <c r="AV22" s="79">
        <f t="shared" si="3"/>
        <v>0</v>
      </c>
      <c r="AX22" s="136"/>
      <c r="AY22" s="58">
        <v>1457</v>
      </c>
      <c r="AZ22" s="58" t="s">
        <v>135</v>
      </c>
      <c r="BA22" s="58">
        <v>3599</v>
      </c>
      <c r="BB22" s="57">
        <v>1347</v>
      </c>
      <c r="BC22" s="59">
        <v>3568</v>
      </c>
      <c r="BD22" s="59" t="s">
        <v>88</v>
      </c>
      <c r="BE22" s="60">
        <v>1344</v>
      </c>
      <c r="BF22" s="59">
        <v>1577</v>
      </c>
      <c r="BG22" s="31"/>
    </row>
    <row r="23" spans="1:59" ht="16" x14ac:dyDescent="0.3">
      <c r="A23" s="9" t="s">
        <v>136</v>
      </c>
      <c r="B23" s="10" t="s">
        <v>137</v>
      </c>
      <c r="C23" s="10" t="s">
        <v>138</v>
      </c>
      <c r="D23" s="10"/>
      <c r="E23" s="10">
        <v>7778</v>
      </c>
      <c r="F23" s="10"/>
      <c r="G23" s="10">
        <v>1278</v>
      </c>
      <c r="H23" s="10">
        <v>1156</v>
      </c>
      <c r="I23" s="10"/>
      <c r="J23" s="10"/>
      <c r="K23" s="10">
        <v>2459</v>
      </c>
      <c r="L23" s="10">
        <v>2278</v>
      </c>
      <c r="M23" s="10"/>
      <c r="N23" s="10"/>
      <c r="O23" s="10">
        <v>3689</v>
      </c>
      <c r="P23" s="10">
        <v>3448</v>
      </c>
      <c r="Q23" s="10"/>
      <c r="R23" s="10"/>
      <c r="S23" s="10"/>
      <c r="T23" s="10">
        <v>4667</v>
      </c>
      <c r="U23" s="10"/>
      <c r="V23" s="10"/>
      <c r="W23" s="10"/>
      <c r="X23" s="10"/>
      <c r="Y23" s="10"/>
      <c r="Z23" s="10"/>
      <c r="AA23" s="10"/>
      <c r="AB23" s="10"/>
      <c r="AC23" s="10"/>
      <c r="AD23" s="10"/>
      <c r="AF23" s="102"/>
      <c r="AG23" s="9" t="s">
        <v>136</v>
      </c>
      <c r="AH23" s="10" t="s">
        <v>137</v>
      </c>
      <c r="AI23" s="10" t="s">
        <v>138</v>
      </c>
      <c r="AJ23" s="10">
        <v>1278</v>
      </c>
      <c r="AK23" s="10">
        <v>1156</v>
      </c>
      <c r="AL23" s="10">
        <v>2278</v>
      </c>
      <c r="AM23" s="10">
        <v>3689</v>
      </c>
      <c r="AN23" s="46">
        <v>3448</v>
      </c>
      <c r="AO23" s="108"/>
      <c r="AP23" s="77">
        <f t="shared" si="3"/>
        <v>0</v>
      </c>
      <c r="AQ23" s="77">
        <f t="shared" si="3"/>
        <v>0</v>
      </c>
      <c r="AR23" s="77">
        <f t="shared" si="3"/>
        <v>0</v>
      </c>
      <c r="AS23" s="77">
        <f t="shared" si="3"/>
        <v>0</v>
      </c>
      <c r="AT23" s="77">
        <f t="shared" si="3"/>
        <v>1</v>
      </c>
      <c r="AU23" s="77">
        <f t="shared" si="3"/>
        <v>0</v>
      </c>
      <c r="AV23" s="79">
        <f t="shared" si="3"/>
        <v>0</v>
      </c>
      <c r="AX23" s="136"/>
      <c r="AY23" s="58">
        <v>3568</v>
      </c>
      <c r="AZ23" s="58" t="s">
        <v>95</v>
      </c>
      <c r="BA23" s="58" t="s">
        <v>139</v>
      </c>
      <c r="BB23" s="57">
        <v>1679</v>
      </c>
      <c r="BC23" s="59">
        <v>5699</v>
      </c>
      <c r="BD23" s="59" t="s">
        <v>135</v>
      </c>
      <c r="BE23" s="60" t="s">
        <v>49</v>
      </c>
      <c r="BF23" s="59" t="s">
        <v>248</v>
      </c>
      <c r="BG23" s="31"/>
    </row>
    <row r="24" spans="1:59" ht="16" x14ac:dyDescent="0.3">
      <c r="A24" s="9" t="s">
        <v>140</v>
      </c>
      <c r="B24" s="10" t="s">
        <v>141</v>
      </c>
      <c r="C24" s="10" t="s">
        <v>142</v>
      </c>
      <c r="D24" s="10"/>
      <c r="E24" s="10">
        <v>7779</v>
      </c>
      <c r="F24" s="10"/>
      <c r="G24" s="10">
        <v>1279</v>
      </c>
      <c r="H24" s="10">
        <v>1157</v>
      </c>
      <c r="I24" s="10"/>
      <c r="J24" s="10"/>
      <c r="K24" s="10">
        <v>2467</v>
      </c>
      <c r="L24" s="10">
        <v>2279</v>
      </c>
      <c r="M24" s="10"/>
      <c r="N24" s="10"/>
      <c r="O24" s="10">
        <v>3789</v>
      </c>
      <c r="P24" s="10">
        <v>3449</v>
      </c>
      <c r="Q24" s="10"/>
      <c r="R24" s="10"/>
      <c r="S24" s="10"/>
      <c r="T24" s="10">
        <v>4668</v>
      </c>
      <c r="U24" s="10"/>
      <c r="V24" s="10"/>
      <c r="W24" s="10"/>
      <c r="X24" s="10"/>
      <c r="Y24" s="10"/>
      <c r="Z24" s="10"/>
      <c r="AA24" s="10"/>
      <c r="AB24" s="10"/>
      <c r="AC24" s="10"/>
      <c r="AD24" s="10"/>
      <c r="AF24" s="102"/>
      <c r="AG24" s="9" t="s">
        <v>140</v>
      </c>
      <c r="AH24" s="10" t="s">
        <v>141</v>
      </c>
      <c r="AI24" s="10" t="s">
        <v>142</v>
      </c>
      <c r="AJ24" s="10">
        <v>1279</v>
      </c>
      <c r="AK24" s="10">
        <v>1157</v>
      </c>
      <c r="AL24" s="10">
        <v>2279</v>
      </c>
      <c r="AM24" s="10">
        <v>3789</v>
      </c>
      <c r="AN24" s="46">
        <v>3449</v>
      </c>
      <c r="AO24" s="108"/>
      <c r="AP24" s="77">
        <f t="shared" si="3"/>
        <v>0</v>
      </c>
      <c r="AQ24" s="77">
        <f t="shared" si="3"/>
        <v>0</v>
      </c>
      <c r="AR24" s="77">
        <f t="shared" si="3"/>
        <v>0</v>
      </c>
      <c r="AS24" s="77">
        <f t="shared" si="3"/>
        <v>0</v>
      </c>
      <c r="AT24" s="77">
        <f t="shared" si="3"/>
        <v>0</v>
      </c>
      <c r="AU24" s="77">
        <f t="shared" si="3"/>
        <v>0</v>
      </c>
      <c r="AV24" s="79">
        <f t="shared" si="3"/>
        <v>0</v>
      </c>
      <c r="AX24" s="136"/>
      <c r="AY24" s="58">
        <v>1137</v>
      </c>
      <c r="AZ24" s="58">
        <v>1589</v>
      </c>
      <c r="BA24" s="58" t="s">
        <v>143</v>
      </c>
      <c r="BB24" s="57">
        <v>1457</v>
      </c>
      <c r="BC24" s="59" t="s">
        <v>96</v>
      </c>
      <c r="BD24" s="59">
        <v>2356</v>
      </c>
      <c r="BE24" s="60">
        <v>1335</v>
      </c>
      <c r="BF24" s="59">
        <v>4679</v>
      </c>
      <c r="BG24" s="31"/>
    </row>
    <row r="25" spans="1:59" ht="16" x14ac:dyDescent="0.3">
      <c r="A25" s="9" t="s">
        <v>144</v>
      </c>
      <c r="B25" s="10" t="s">
        <v>145</v>
      </c>
      <c r="C25" s="10" t="s">
        <v>139</v>
      </c>
      <c r="D25" s="10"/>
      <c r="E25" s="10">
        <v>7888</v>
      </c>
      <c r="F25" s="10"/>
      <c r="G25" s="10">
        <v>1289</v>
      </c>
      <c r="H25" s="10">
        <v>1158</v>
      </c>
      <c r="I25" s="10"/>
      <c r="J25" s="10"/>
      <c r="K25" s="10">
        <v>2468</v>
      </c>
      <c r="L25" s="10">
        <v>2289</v>
      </c>
      <c r="M25" s="10"/>
      <c r="N25" s="10"/>
      <c r="O25" s="10"/>
      <c r="P25" s="10">
        <v>3466</v>
      </c>
      <c r="Q25" s="10"/>
      <c r="R25" s="10"/>
      <c r="S25" s="10"/>
      <c r="T25" s="10">
        <v>4669</v>
      </c>
      <c r="U25" s="10"/>
      <c r="V25" s="10"/>
      <c r="W25" s="10"/>
      <c r="X25" s="10"/>
      <c r="Y25" s="10"/>
      <c r="Z25" s="10"/>
      <c r="AA25" s="10"/>
      <c r="AB25" s="10"/>
      <c r="AC25" s="10"/>
      <c r="AD25" s="10"/>
      <c r="AF25" s="102"/>
      <c r="AG25" s="9" t="s">
        <v>144</v>
      </c>
      <c r="AH25" s="10" t="s">
        <v>145</v>
      </c>
      <c r="AI25" s="10" t="s">
        <v>139</v>
      </c>
      <c r="AJ25" s="10">
        <v>1289</v>
      </c>
      <c r="AK25" s="10">
        <v>1158</v>
      </c>
      <c r="AL25" s="10">
        <v>2289</v>
      </c>
      <c r="AM25" s="10">
        <v>4567</v>
      </c>
      <c r="AN25" s="46">
        <v>3466</v>
      </c>
      <c r="AO25" s="108"/>
      <c r="AP25" s="77">
        <f t="shared" si="3"/>
        <v>0</v>
      </c>
      <c r="AQ25" s="77">
        <f t="shared" si="3"/>
        <v>1</v>
      </c>
      <c r="AR25" s="77">
        <f t="shared" si="3"/>
        <v>0</v>
      </c>
      <c r="AS25" s="77">
        <f t="shared" si="3"/>
        <v>0</v>
      </c>
      <c r="AT25" s="77">
        <f t="shared" si="3"/>
        <v>0</v>
      </c>
      <c r="AU25" s="77">
        <f t="shared" si="3"/>
        <v>2</v>
      </c>
      <c r="AV25" s="79">
        <f t="shared" si="3"/>
        <v>0</v>
      </c>
      <c r="AX25" s="136"/>
      <c r="AY25" s="58">
        <v>1335</v>
      </c>
      <c r="AZ25" s="58">
        <v>1335</v>
      </c>
      <c r="BA25" s="58">
        <v>1456</v>
      </c>
      <c r="BB25" s="57">
        <v>3568</v>
      </c>
      <c r="BC25" s="59">
        <v>1248</v>
      </c>
      <c r="BD25" s="59">
        <v>2355</v>
      </c>
      <c r="BE25" s="60">
        <v>2448</v>
      </c>
      <c r="BF25" s="59">
        <v>4568</v>
      </c>
      <c r="BG25" s="31"/>
    </row>
    <row r="26" spans="1:59" ht="16" x14ac:dyDescent="0.3">
      <c r="A26" s="9" t="s">
        <v>146</v>
      </c>
      <c r="B26" s="10" t="s">
        <v>147</v>
      </c>
      <c r="C26" s="10" t="s">
        <v>148</v>
      </c>
      <c r="D26" s="10"/>
      <c r="E26" s="10">
        <v>7999</v>
      </c>
      <c r="F26" s="10"/>
      <c r="G26" s="10">
        <v>1345</v>
      </c>
      <c r="H26" s="10">
        <v>1159</v>
      </c>
      <c r="I26" s="10"/>
      <c r="J26" s="10"/>
      <c r="K26" s="10">
        <v>2469</v>
      </c>
      <c r="L26" s="10">
        <v>2334</v>
      </c>
      <c r="M26" s="10"/>
      <c r="N26" s="10"/>
      <c r="O26" s="10"/>
      <c r="P26" s="10">
        <v>3477</v>
      </c>
      <c r="Q26" s="10"/>
      <c r="R26" s="10"/>
      <c r="S26" s="10"/>
      <c r="T26" s="10">
        <v>4677</v>
      </c>
      <c r="U26" s="10"/>
      <c r="V26" s="10"/>
      <c r="W26" s="10"/>
      <c r="X26" s="10"/>
      <c r="Y26" s="10"/>
      <c r="Z26" s="10"/>
      <c r="AA26" s="10"/>
      <c r="AB26" s="10"/>
      <c r="AC26" s="10"/>
      <c r="AD26" s="10"/>
      <c r="AF26" s="102"/>
      <c r="AG26" s="9" t="s">
        <v>146</v>
      </c>
      <c r="AH26" s="10" t="s">
        <v>147</v>
      </c>
      <c r="AI26" s="10" t="s">
        <v>148</v>
      </c>
      <c r="AJ26" s="10">
        <v>1345</v>
      </c>
      <c r="AK26" s="10">
        <v>1159</v>
      </c>
      <c r="AL26" s="10">
        <v>2334</v>
      </c>
      <c r="AM26" s="10">
        <v>4568</v>
      </c>
      <c r="AN26" s="46">
        <v>3477</v>
      </c>
      <c r="AO26" s="108"/>
      <c r="AP26" s="77">
        <f t="shared" si="3"/>
        <v>0</v>
      </c>
      <c r="AQ26" s="77">
        <f t="shared" si="3"/>
        <v>0</v>
      </c>
      <c r="AR26" s="77">
        <f t="shared" si="3"/>
        <v>0</v>
      </c>
      <c r="AS26" s="77">
        <f t="shared" si="3"/>
        <v>0</v>
      </c>
      <c r="AT26" s="77">
        <f t="shared" si="3"/>
        <v>0</v>
      </c>
      <c r="AU26" s="77">
        <f t="shared" si="3"/>
        <v>1</v>
      </c>
      <c r="AV26" s="79">
        <f t="shared" si="3"/>
        <v>0</v>
      </c>
      <c r="AX26" s="136"/>
      <c r="AY26" s="58" t="s">
        <v>149</v>
      </c>
      <c r="AZ26" s="58">
        <v>1246</v>
      </c>
      <c r="BA26" s="58">
        <v>2448</v>
      </c>
      <c r="BB26" s="57">
        <v>1335</v>
      </c>
      <c r="BC26" s="59">
        <v>1355</v>
      </c>
      <c r="BD26" s="59" t="s">
        <v>314</v>
      </c>
      <c r="BE26" s="60">
        <v>2356</v>
      </c>
      <c r="BF26" s="59">
        <v>6666</v>
      </c>
      <c r="BG26" s="31"/>
    </row>
    <row r="27" spans="1:59" ht="16" x14ac:dyDescent="0.3">
      <c r="A27" s="9" t="s">
        <v>150</v>
      </c>
      <c r="B27" s="10" t="s">
        <v>151</v>
      </c>
      <c r="C27" s="10" t="s">
        <v>152</v>
      </c>
      <c r="D27" s="10"/>
      <c r="E27" s="10">
        <v>8889</v>
      </c>
      <c r="F27" s="10"/>
      <c r="G27" s="10">
        <v>1346</v>
      </c>
      <c r="H27" s="10">
        <v>1167</v>
      </c>
      <c r="I27" s="10"/>
      <c r="J27" s="10"/>
      <c r="K27" s="10">
        <v>2478</v>
      </c>
      <c r="L27" s="10">
        <v>2335</v>
      </c>
      <c r="M27" s="10"/>
      <c r="N27" s="10"/>
      <c r="O27" s="10"/>
      <c r="P27" s="10">
        <v>3488</v>
      </c>
      <c r="Q27" s="10"/>
      <c r="R27" s="10"/>
      <c r="S27" s="10"/>
      <c r="T27" s="10">
        <v>4688</v>
      </c>
      <c r="U27" s="10"/>
      <c r="V27" s="10"/>
      <c r="W27" s="10"/>
      <c r="X27" s="10"/>
      <c r="Y27" s="10"/>
      <c r="Z27" s="10"/>
      <c r="AA27" s="10"/>
      <c r="AB27" s="10"/>
      <c r="AC27" s="10"/>
      <c r="AD27" s="10"/>
      <c r="AF27" s="102"/>
      <c r="AG27" s="9" t="s">
        <v>150</v>
      </c>
      <c r="AH27" s="10" t="s">
        <v>151</v>
      </c>
      <c r="AI27" s="10" t="s">
        <v>152</v>
      </c>
      <c r="AJ27" s="10">
        <v>1346</v>
      </c>
      <c r="AK27" s="10">
        <v>1167</v>
      </c>
      <c r="AL27" s="10">
        <v>2335</v>
      </c>
      <c r="AM27" s="10">
        <v>4569</v>
      </c>
      <c r="AN27" s="46">
        <v>3488</v>
      </c>
      <c r="AO27" s="108"/>
      <c r="AP27" s="77">
        <f t="shared" si="3"/>
        <v>0</v>
      </c>
      <c r="AQ27" s="77">
        <f t="shared" si="3"/>
        <v>0</v>
      </c>
      <c r="AR27" s="77">
        <f t="shared" si="3"/>
        <v>0</v>
      </c>
      <c r="AS27" s="77">
        <f t="shared" si="3"/>
        <v>0</v>
      </c>
      <c r="AT27" s="77">
        <f t="shared" si="3"/>
        <v>0</v>
      </c>
      <c r="AU27" s="77">
        <f t="shared" si="3"/>
        <v>0</v>
      </c>
      <c r="AV27" s="79">
        <f t="shared" si="3"/>
        <v>0</v>
      </c>
      <c r="AX27" s="136"/>
      <c r="AY27" s="58">
        <v>1148</v>
      </c>
      <c r="AZ27" s="58" t="s">
        <v>153</v>
      </c>
      <c r="BA27" s="58">
        <v>3668</v>
      </c>
      <c r="BB27" s="57">
        <v>2448</v>
      </c>
      <c r="BC27" s="59">
        <v>1388</v>
      </c>
      <c r="BD27" s="59">
        <v>1378</v>
      </c>
      <c r="BE27" s="60">
        <v>5588</v>
      </c>
      <c r="BF27" s="59">
        <v>1258</v>
      </c>
      <c r="BG27" s="31"/>
    </row>
    <row r="28" spans="1:59" ht="16.5" thickBot="1" x14ac:dyDescent="0.35">
      <c r="A28" s="9" t="s">
        <v>154</v>
      </c>
      <c r="B28" s="10" t="s">
        <v>155</v>
      </c>
      <c r="C28" s="10" t="s">
        <v>156</v>
      </c>
      <c r="D28" s="10"/>
      <c r="E28" s="10">
        <v>8999</v>
      </c>
      <c r="F28" s="10"/>
      <c r="G28" s="10">
        <v>1347</v>
      </c>
      <c r="H28" s="10">
        <v>1168</v>
      </c>
      <c r="I28" s="10"/>
      <c r="J28" s="10"/>
      <c r="K28" s="10">
        <v>2479</v>
      </c>
      <c r="L28" s="10">
        <v>2336</v>
      </c>
      <c r="M28" s="10"/>
      <c r="N28" s="10"/>
      <c r="O28" s="10"/>
      <c r="P28" s="10">
        <v>3499</v>
      </c>
      <c r="Q28" s="10"/>
      <c r="R28" s="10"/>
      <c r="S28" s="10"/>
      <c r="T28" s="10">
        <v>4699</v>
      </c>
      <c r="U28" s="10"/>
      <c r="V28" s="10"/>
      <c r="W28" s="10"/>
      <c r="X28" s="10"/>
      <c r="Y28" s="10"/>
      <c r="Z28" s="10"/>
      <c r="AA28" s="10"/>
      <c r="AB28" s="10"/>
      <c r="AC28" s="10"/>
      <c r="AD28" s="10"/>
      <c r="AF28" s="103"/>
      <c r="AG28" s="41" t="s">
        <v>154</v>
      </c>
      <c r="AH28" s="42" t="s">
        <v>155</v>
      </c>
      <c r="AI28" s="42" t="s">
        <v>156</v>
      </c>
      <c r="AJ28" s="42">
        <v>1347</v>
      </c>
      <c r="AK28" s="42">
        <v>1168</v>
      </c>
      <c r="AL28" s="42">
        <v>2336</v>
      </c>
      <c r="AM28" s="42">
        <v>4578</v>
      </c>
      <c r="AN28" s="47">
        <v>3499</v>
      </c>
      <c r="AO28" s="109"/>
      <c r="AP28" s="80">
        <f t="shared" si="3"/>
        <v>0</v>
      </c>
      <c r="AQ28" s="80">
        <f t="shared" si="3"/>
        <v>0</v>
      </c>
      <c r="AR28" s="80">
        <f t="shared" si="3"/>
        <v>3</v>
      </c>
      <c r="AS28" s="80">
        <f t="shared" si="3"/>
        <v>0</v>
      </c>
      <c r="AT28" s="80">
        <f t="shared" si="3"/>
        <v>0</v>
      </c>
      <c r="AU28" s="80">
        <f t="shared" si="3"/>
        <v>1</v>
      </c>
      <c r="AV28" s="81">
        <f t="shared" si="3"/>
        <v>0</v>
      </c>
      <c r="AX28" s="137"/>
      <c r="AY28" s="58">
        <v>1277</v>
      </c>
      <c r="AZ28" s="58">
        <v>2678</v>
      </c>
      <c r="BA28" s="58" t="s">
        <v>103</v>
      </c>
      <c r="BB28" s="57" t="s">
        <v>103</v>
      </c>
      <c r="BC28" s="59">
        <v>1456</v>
      </c>
      <c r="BD28" s="59">
        <v>3358</v>
      </c>
      <c r="BE28" s="60">
        <v>4567</v>
      </c>
      <c r="BF28" s="59" t="s">
        <v>120</v>
      </c>
      <c r="BG28" s="31"/>
    </row>
    <row r="29" spans="1:59" ht="14.5" x14ac:dyDescent="0.3">
      <c r="A29" s="9" t="s">
        <v>157</v>
      </c>
      <c r="B29" s="10" t="s">
        <v>158</v>
      </c>
      <c r="C29" s="10" t="s">
        <v>159</v>
      </c>
      <c r="D29" s="10"/>
      <c r="E29" s="10"/>
      <c r="F29" s="10"/>
      <c r="G29" s="10">
        <v>1348</v>
      </c>
      <c r="H29" s="10">
        <v>1169</v>
      </c>
      <c r="I29" s="10"/>
      <c r="J29" s="10"/>
      <c r="K29" s="10">
        <v>2489</v>
      </c>
      <c r="L29" s="10">
        <v>2337</v>
      </c>
      <c r="M29" s="10"/>
      <c r="N29" s="10"/>
      <c r="O29" s="10"/>
      <c r="P29" s="10">
        <v>3556</v>
      </c>
      <c r="Q29" s="10"/>
      <c r="R29" s="10"/>
      <c r="S29" s="10"/>
      <c r="T29" s="10">
        <v>4778</v>
      </c>
      <c r="U29" s="10"/>
      <c r="V29" s="10"/>
      <c r="W29" s="10"/>
      <c r="X29" s="10"/>
      <c r="Y29" s="10"/>
      <c r="Z29" s="10"/>
      <c r="AA29" s="10"/>
      <c r="AB29" s="10"/>
      <c r="AC29" s="10"/>
      <c r="AD29" s="10"/>
      <c r="AF29" s="101" t="s">
        <v>436</v>
      </c>
      <c r="AG29" s="39" t="s">
        <v>157</v>
      </c>
      <c r="AH29" s="40" t="s">
        <v>158</v>
      </c>
      <c r="AI29" s="40" t="s">
        <v>159</v>
      </c>
      <c r="AJ29" s="40">
        <v>1348</v>
      </c>
      <c r="AK29" s="40">
        <v>1169</v>
      </c>
      <c r="AL29" s="40">
        <v>2337</v>
      </c>
      <c r="AM29" s="40">
        <v>4579</v>
      </c>
      <c r="AN29" s="48">
        <v>3556</v>
      </c>
      <c r="AO29" s="107">
        <f t="shared" ref="AO29" si="4">SUM(AP29:AV40)</f>
        <v>24</v>
      </c>
      <c r="AP29" s="75">
        <f t="shared" si="3"/>
        <v>0</v>
      </c>
      <c r="AQ29" s="75">
        <f t="shared" si="3"/>
        <v>0</v>
      </c>
      <c r="AR29" s="75">
        <f t="shared" si="3"/>
        <v>0</v>
      </c>
      <c r="AS29" s="75">
        <f t="shared" si="3"/>
        <v>0</v>
      </c>
      <c r="AT29" s="75">
        <f t="shared" si="3"/>
        <v>1</v>
      </c>
      <c r="AU29" s="75">
        <f t="shared" si="3"/>
        <v>1</v>
      </c>
      <c r="AV29" s="76">
        <f t="shared" si="3"/>
        <v>0</v>
      </c>
      <c r="BB29" s="61" t="s">
        <v>160</v>
      </c>
      <c r="BD29" s="61" t="s">
        <v>430</v>
      </c>
      <c r="BF29" s="61" t="s">
        <v>160</v>
      </c>
    </row>
    <row r="30" spans="1:59" ht="14.5" x14ac:dyDescent="0.3">
      <c r="A30" s="9" t="s">
        <v>161</v>
      </c>
      <c r="B30" s="10" t="s">
        <v>162</v>
      </c>
      <c r="C30" s="10" t="s">
        <v>163</v>
      </c>
      <c r="D30" s="10"/>
      <c r="E30" s="10"/>
      <c r="F30" s="10"/>
      <c r="G30" s="10">
        <v>1349</v>
      </c>
      <c r="H30" s="10">
        <v>1178</v>
      </c>
      <c r="I30" s="10"/>
      <c r="J30" s="10"/>
      <c r="K30" s="10">
        <v>2567</v>
      </c>
      <c r="L30" s="10">
        <v>2338</v>
      </c>
      <c r="M30" s="10"/>
      <c r="N30" s="10"/>
      <c r="O30" s="10"/>
      <c r="P30" s="10">
        <v>3557</v>
      </c>
      <c r="Q30" s="10"/>
      <c r="R30" s="10"/>
      <c r="S30" s="10"/>
      <c r="T30" s="10">
        <v>4779</v>
      </c>
      <c r="U30" s="10"/>
      <c r="V30" s="10"/>
      <c r="W30" s="10"/>
      <c r="X30" s="10"/>
      <c r="Y30" s="10"/>
      <c r="Z30" s="10"/>
      <c r="AA30" s="10"/>
      <c r="AB30" s="10"/>
      <c r="AC30" s="10"/>
      <c r="AD30" s="10"/>
      <c r="AF30" s="102"/>
      <c r="AG30" s="9" t="s">
        <v>161</v>
      </c>
      <c r="AH30" s="10" t="s">
        <v>162</v>
      </c>
      <c r="AI30" s="10" t="s">
        <v>163</v>
      </c>
      <c r="AJ30" s="10">
        <v>1349</v>
      </c>
      <c r="AK30" s="10">
        <v>1178</v>
      </c>
      <c r="AL30" s="10">
        <v>2338</v>
      </c>
      <c r="AM30" s="10">
        <v>4589</v>
      </c>
      <c r="AN30" s="46">
        <v>3557</v>
      </c>
      <c r="AO30" s="108"/>
      <c r="AP30" s="77">
        <f t="shared" si="3"/>
        <v>0</v>
      </c>
      <c r="AQ30" s="77">
        <f t="shared" si="3"/>
        <v>0</v>
      </c>
      <c r="AR30" s="77">
        <f t="shared" si="3"/>
        <v>0</v>
      </c>
      <c r="AS30" s="77">
        <f t="shared" si="3"/>
        <v>0</v>
      </c>
      <c r="AT30" s="77">
        <f t="shared" si="3"/>
        <v>0</v>
      </c>
      <c r="AU30" s="77">
        <f t="shared" si="3"/>
        <v>0</v>
      </c>
      <c r="AV30" s="79">
        <f t="shared" si="3"/>
        <v>0</v>
      </c>
    </row>
    <row r="31" spans="1:59" ht="14.5" x14ac:dyDescent="0.3">
      <c r="A31" s="9" t="s">
        <v>164</v>
      </c>
      <c r="B31" s="10" t="s">
        <v>153</v>
      </c>
      <c r="C31" s="10" t="s">
        <v>165</v>
      </c>
      <c r="D31" s="10"/>
      <c r="E31" s="10"/>
      <c r="F31" s="10"/>
      <c r="G31" s="10">
        <v>1356</v>
      </c>
      <c r="H31" s="10">
        <v>1179</v>
      </c>
      <c r="I31" s="10"/>
      <c r="J31" s="10"/>
      <c r="K31" s="10">
        <v>2568</v>
      </c>
      <c r="L31" s="10">
        <v>2339</v>
      </c>
      <c r="M31" s="10"/>
      <c r="N31" s="10"/>
      <c r="O31" s="10"/>
      <c r="P31" s="10">
        <v>3558</v>
      </c>
      <c r="Q31" s="10"/>
      <c r="R31" s="10"/>
      <c r="S31" s="10"/>
      <c r="T31" s="10">
        <v>4788</v>
      </c>
      <c r="U31" s="10"/>
      <c r="V31" s="10"/>
      <c r="W31" s="10"/>
      <c r="X31" s="10"/>
      <c r="Y31" s="10"/>
      <c r="Z31" s="10"/>
      <c r="AA31" s="10"/>
      <c r="AB31" s="10"/>
      <c r="AC31" s="10"/>
      <c r="AD31" s="10"/>
      <c r="AF31" s="102"/>
      <c r="AG31" s="9" t="s">
        <v>164</v>
      </c>
      <c r="AH31" s="10" t="s">
        <v>153</v>
      </c>
      <c r="AI31" s="10" t="s">
        <v>165</v>
      </c>
      <c r="AJ31" s="10">
        <v>1356</v>
      </c>
      <c r="AK31" s="10">
        <v>1179</v>
      </c>
      <c r="AL31" s="10">
        <v>2339</v>
      </c>
      <c r="AM31" s="10">
        <v>4678</v>
      </c>
      <c r="AN31" s="46">
        <v>3558</v>
      </c>
      <c r="AO31" s="108"/>
      <c r="AP31" s="77">
        <f t="shared" si="3"/>
        <v>1</v>
      </c>
      <c r="AQ31" s="77">
        <f t="shared" si="3"/>
        <v>0</v>
      </c>
      <c r="AR31" s="77">
        <f t="shared" si="3"/>
        <v>5</v>
      </c>
      <c r="AS31" s="77">
        <f t="shared" si="3"/>
        <v>0</v>
      </c>
      <c r="AT31" s="77">
        <f t="shared" si="3"/>
        <v>0</v>
      </c>
      <c r="AU31" s="77">
        <f t="shared" si="3"/>
        <v>1</v>
      </c>
      <c r="AV31" s="79">
        <f t="shared" si="3"/>
        <v>0</v>
      </c>
      <c r="AY31" s="62" t="s">
        <v>31</v>
      </c>
      <c r="AZ31" s="63" t="s">
        <v>166</v>
      </c>
      <c r="BA31" s="52"/>
      <c r="BB31" s="52"/>
    </row>
    <row r="32" spans="1:59" ht="14.5" x14ac:dyDescent="0.3">
      <c r="A32" s="9" t="s">
        <v>167</v>
      </c>
      <c r="B32" s="10" t="s">
        <v>168</v>
      </c>
      <c r="C32" s="10" t="s">
        <v>169</v>
      </c>
      <c r="D32" s="10"/>
      <c r="E32" s="10"/>
      <c r="F32" s="10"/>
      <c r="G32" s="10">
        <v>1357</v>
      </c>
      <c r="H32" s="10">
        <v>1189</v>
      </c>
      <c r="I32" s="10"/>
      <c r="J32" s="10"/>
      <c r="K32" s="10">
        <v>2569</v>
      </c>
      <c r="L32" s="10">
        <v>2344</v>
      </c>
      <c r="M32" s="10"/>
      <c r="N32" s="10"/>
      <c r="O32" s="10"/>
      <c r="P32" s="10">
        <v>3559</v>
      </c>
      <c r="Q32" s="10"/>
      <c r="R32" s="10"/>
      <c r="S32" s="10"/>
      <c r="T32" s="10">
        <v>4799</v>
      </c>
      <c r="U32" s="10"/>
      <c r="V32" s="10"/>
      <c r="W32" s="10"/>
      <c r="X32" s="10"/>
      <c r="Y32" s="10"/>
      <c r="Z32" s="10"/>
      <c r="AA32" s="10"/>
      <c r="AB32" s="10"/>
      <c r="AC32" s="10"/>
      <c r="AD32" s="10"/>
      <c r="AF32" s="102"/>
      <c r="AG32" s="9" t="s">
        <v>167</v>
      </c>
      <c r="AH32" s="10" t="s">
        <v>168</v>
      </c>
      <c r="AI32" s="10" t="s">
        <v>169</v>
      </c>
      <c r="AJ32" s="10">
        <v>1357</v>
      </c>
      <c r="AK32" s="10">
        <v>1189</v>
      </c>
      <c r="AL32" s="10">
        <v>2344</v>
      </c>
      <c r="AM32" s="10">
        <v>4679</v>
      </c>
      <c r="AN32" s="46">
        <v>3559</v>
      </c>
      <c r="AO32" s="108"/>
      <c r="AP32" s="77">
        <f t="shared" si="3"/>
        <v>0</v>
      </c>
      <c r="AQ32" s="77">
        <f t="shared" si="3"/>
        <v>0</v>
      </c>
      <c r="AR32" s="77">
        <f t="shared" si="3"/>
        <v>0</v>
      </c>
      <c r="AS32" s="77">
        <f t="shared" si="3"/>
        <v>0</v>
      </c>
      <c r="AT32" s="77">
        <f t="shared" si="3"/>
        <v>0</v>
      </c>
      <c r="AU32" s="77">
        <f t="shared" si="3"/>
        <v>1</v>
      </c>
      <c r="AV32" s="79">
        <f t="shared" si="3"/>
        <v>0</v>
      </c>
      <c r="AY32" s="62" t="s">
        <v>32</v>
      </c>
      <c r="AZ32" s="63" t="s">
        <v>170</v>
      </c>
      <c r="BA32" s="52"/>
      <c r="BB32" s="52"/>
    </row>
    <row r="33" spans="1:58" ht="14.5" x14ac:dyDescent="0.3">
      <c r="A33" s="9" t="s">
        <v>171</v>
      </c>
      <c r="B33" s="10" t="s">
        <v>172</v>
      </c>
      <c r="C33" s="10" t="s">
        <v>173</v>
      </c>
      <c r="D33" s="10"/>
      <c r="E33" s="10"/>
      <c r="F33" s="10"/>
      <c r="G33" s="10">
        <v>1358</v>
      </c>
      <c r="H33" s="10">
        <v>1223</v>
      </c>
      <c r="I33" s="10"/>
      <c r="J33" s="10"/>
      <c r="K33" s="10">
        <v>2578</v>
      </c>
      <c r="L33" s="10">
        <v>2355</v>
      </c>
      <c r="M33" s="10"/>
      <c r="N33" s="10"/>
      <c r="O33" s="10"/>
      <c r="P33" s="10">
        <v>3566</v>
      </c>
      <c r="Q33" s="10"/>
      <c r="R33" s="10"/>
      <c r="S33" s="10"/>
      <c r="T33" s="10">
        <v>4889</v>
      </c>
      <c r="U33" s="10"/>
      <c r="V33" s="10"/>
      <c r="W33" s="10"/>
      <c r="X33" s="10"/>
      <c r="Y33" s="10"/>
      <c r="Z33" s="10"/>
      <c r="AA33" s="10"/>
      <c r="AB33" s="10"/>
      <c r="AC33" s="10"/>
      <c r="AD33" s="10"/>
      <c r="AF33" s="102"/>
      <c r="AG33" s="9" t="s">
        <v>171</v>
      </c>
      <c r="AH33" s="10" t="s">
        <v>172</v>
      </c>
      <c r="AI33" s="10" t="s">
        <v>173</v>
      </c>
      <c r="AJ33" s="10">
        <v>1358</v>
      </c>
      <c r="AK33" s="10">
        <v>1223</v>
      </c>
      <c r="AL33" s="10">
        <v>2355</v>
      </c>
      <c r="AM33" s="10">
        <v>4689</v>
      </c>
      <c r="AN33" s="46">
        <v>3566</v>
      </c>
      <c r="AO33" s="108"/>
      <c r="AP33" s="77">
        <f t="shared" si="3"/>
        <v>0</v>
      </c>
      <c r="AQ33" s="77">
        <f t="shared" si="3"/>
        <v>0</v>
      </c>
      <c r="AR33" s="77">
        <f t="shared" si="3"/>
        <v>0</v>
      </c>
      <c r="AS33" s="77">
        <f t="shared" si="3"/>
        <v>0</v>
      </c>
      <c r="AT33" s="77">
        <f t="shared" si="3"/>
        <v>1</v>
      </c>
      <c r="AU33" s="77">
        <f t="shared" si="3"/>
        <v>0</v>
      </c>
      <c r="AV33" s="79">
        <f t="shared" si="3"/>
        <v>0</v>
      </c>
      <c r="AY33" s="64" t="s">
        <v>33</v>
      </c>
      <c r="AZ33" s="63" t="s">
        <v>174</v>
      </c>
      <c r="BA33" s="52"/>
      <c r="BB33" s="52"/>
    </row>
    <row r="34" spans="1:58" ht="14.5" x14ac:dyDescent="0.3">
      <c r="A34" s="9" t="s">
        <v>175</v>
      </c>
      <c r="B34" s="10" t="s">
        <v>176</v>
      </c>
      <c r="C34" s="10" t="s">
        <v>177</v>
      </c>
      <c r="D34" s="10"/>
      <c r="E34" s="10"/>
      <c r="F34" s="10"/>
      <c r="G34" s="10">
        <v>1359</v>
      </c>
      <c r="H34" s="10">
        <v>1224</v>
      </c>
      <c r="I34" s="10"/>
      <c r="J34" s="10"/>
      <c r="K34" s="10">
        <v>2579</v>
      </c>
      <c r="L34" s="10">
        <v>2366</v>
      </c>
      <c r="M34" s="10"/>
      <c r="N34" s="10"/>
      <c r="O34" s="10"/>
      <c r="P34" s="10">
        <v>3577</v>
      </c>
      <c r="Q34" s="10"/>
      <c r="R34" s="10"/>
      <c r="S34" s="10"/>
      <c r="T34" s="10">
        <v>4899</v>
      </c>
      <c r="U34" s="10"/>
      <c r="V34" s="10"/>
      <c r="W34" s="10"/>
      <c r="X34" s="10"/>
      <c r="Y34" s="10"/>
      <c r="Z34" s="10"/>
      <c r="AA34" s="10"/>
      <c r="AB34" s="10"/>
      <c r="AC34" s="10"/>
      <c r="AD34" s="10"/>
      <c r="AF34" s="102"/>
      <c r="AG34" s="9" t="s">
        <v>175</v>
      </c>
      <c r="AH34" s="10" t="s">
        <v>176</v>
      </c>
      <c r="AI34" s="10" t="s">
        <v>177</v>
      </c>
      <c r="AJ34" s="10">
        <v>1359</v>
      </c>
      <c r="AK34" s="10">
        <v>1224</v>
      </c>
      <c r="AL34" s="10">
        <v>2366</v>
      </c>
      <c r="AM34" s="10">
        <v>4789</v>
      </c>
      <c r="AN34" s="46">
        <v>3577</v>
      </c>
      <c r="AO34" s="108"/>
      <c r="AP34" s="77">
        <f t="shared" si="3"/>
        <v>0</v>
      </c>
      <c r="AQ34" s="77">
        <f t="shared" si="3"/>
        <v>0</v>
      </c>
      <c r="AR34" s="77">
        <f t="shared" si="3"/>
        <v>0</v>
      </c>
      <c r="AS34" s="77">
        <f t="shared" si="3"/>
        <v>0</v>
      </c>
      <c r="AT34" s="77">
        <f t="shared" si="3"/>
        <v>0</v>
      </c>
      <c r="AU34" s="77">
        <f t="shared" si="3"/>
        <v>0</v>
      </c>
      <c r="AV34" s="79">
        <f t="shared" si="3"/>
        <v>1</v>
      </c>
      <c r="AY34" s="64" t="s">
        <v>34</v>
      </c>
      <c r="AZ34" s="63" t="s">
        <v>178</v>
      </c>
      <c r="BA34" s="52"/>
      <c r="BB34" s="52"/>
    </row>
    <row r="35" spans="1:58" ht="14.5" x14ac:dyDescent="0.3">
      <c r="A35" s="9" t="s">
        <v>179</v>
      </c>
      <c r="B35" s="10" t="s">
        <v>180</v>
      </c>
      <c r="C35" s="10" t="s">
        <v>181</v>
      </c>
      <c r="D35" s="10"/>
      <c r="E35" s="10"/>
      <c r="F35" s="10"/>
      <c r="G35" s="10">
        <v>1366</v>
      </c>
      <c r="H35" s="10">
        <v>1225</v>
      </c>
      <c r="I35" s="10"/>
      <c r="J35" s="10"/>
      <c r="K35" s="10">
        <v>2589</v>
      </c>
      <c r="L35" s="10">
        <v>2377</v>
      </c>
      <c r="M35" s="10"/>
      <c r="N35" s="10"/>
      <c r="O35" s="10"/>
      <c r="P35" s="10">
        <v>3588</v>
      </c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F35" s="102"/>
      <c r="AG35" s="9" t="s">
        <v>179</v>
      </c>
      <c r="AH35" s="10" t="s">
        <v>180</v>
      </c>
      <c r="AI35" s="10" t="s">
        <v>181</v>
      </c>
      <c r="AJ35" s="10">
        <v>1366</v>
      </c>
      <c r="AK35" s="10">
        <v>1225</v>
      </c>
      <c r="AL35" s="10">
        <v>2377</v>
      </c>
      <c r="AM35" s="10">
        <v>5678</v>
      </c>
      <c r="AN35" s="46">
        <v>3588</v>
      </c>
      <c r="AO35" s="108"/>
      <c r="AP35" s="77">
        <f t="shared" si="3"/>
        <v>0</v>
      </c>
      <c r="AQ35" s="77">
        <f t="shared" si="3"/>
        <v>0</v>
      </c>
      <c r="AR35" s="77">
        <f t="shared" si="3"/>
        <v>0</v>
      </c>
      <c r="AS35" s="77">
        <f t="shared" si="3"/>
        <v>0</v>
      </c>
      <c r="AT35" s="77">
        <f t="shared" si="3"/>
        <v>0</v>
      </c>
      <c r="AU35" s="77">
        <f t="shared" si="3"/>
        <v>0</v>
      </c>
      <c r="AV35" s="79">
        <f t="shared" si="3"/>
        <v>0</v>
      </c>
      <c r="AY35" s="64" t="s">
        <v>35</v>
      </c>
      <c r="AZ35" s="63" t="s">
        <v>182</v>
      </c>
      <c r="BA35" s="52"/>
      <c r="BB35" s="52"/>
    </row>
    <row r="36" spans="1:58" ht="14.5" x14ac:dyDescent="0.3">
      <c r="A36" s="9" t="s">
        <v>183</v>
      </c>
      <c r="B36" s="10" t="s">
        <v>184</v>
      </c>
      <c r="C36" s="10" t="s">
        <v>185</v>
      </c>
      <c r="D36" s="10"/>
      <c r="E36" s="10"/>
      <c r="F36" s="10"/>
      <c r="G36" s="10">
        <v>1367</v>
      </c>
      <c r="H36" s="10">
        <v>1226</v>
      </c>
      <c r="I36" s="10"/>
      <c r="J36" s="10"/>
      <c r="K36" s="10">
        <v>2678</v>
      </c>
      <c r="L36" s="10">
        <v>2388</v>
      </c>
      <c r="M36" s="10"/>
      <c r="N36" s="10"/>
      <c r="O36" s="10"/>
      <c r="P36" s="10">
        <v>3599</v>
      </c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F36" s="102"/>
      <c r="AG36" s="9" t="s">
        <v>183</v>
      </c>
      <c r="AH36" s="10" t="s">
        <v>184</v>
      </c>
      <c r="AI36" s="10" t="s">
        <v>185</v>
      </c>
      <c r="AJ36" s="10">
        <v>1367</v>
      </c>
      <c r="AK36" s="10">
        <v>1226</v>
      </c>
      <c r="AL36" s="10">
        <v>2388</v>
      </c>
      <c r="AM36" s="10">
        <v>5679</v>
      </c>
      <c r="AN36" s="46">
        <v>3599</v>
      </c>
      <c r="AO36" s="108"/>
      <c r="AP36" s="77">
        <f t="shared" si="3"/>
        <v>0</v>
      </c>
      <c r="AQ36" s="77">
        <f t="shared" si="3"/>
        <v>0</v>
      </c>
      <c r="AR36" s="77">
        <f t="shared" si="3"/>
        <v>1</v>
      </c>
      <c r="AS36" s="77">
        <f t="shared" si="3"/>
        <v>0</v>
      </c>
      <c r="AT36" s="77">
        <f t="shared" si="3"/>
        <v>0</v>
      </c>
      <c r="AU36" s="77">
        <f t="shared" si="3"/>
        <v>0</v>
      </c>
      <c r="AV36" s="79">
        <f t="shared" si="3"/>
        <v>1</v>
      </c>
    </row>
    <row r="37" spans="1:58" ht="14.5" x14ac:dyDescent="0.3">
      <c r="A37" s="9" t="s">
        <v>186</v>
      </c>
      <c r="B37" s="10" t="s">
        <v>187</v>
      </c>
      <c r="C37" s="10" t="s">
        <v>188</v>
      </c>
      <c r="D37" s="10"/>
      <c r="E37" s="10"/>
      <c r="F37" s="10"/>
      <c r="G37" s="10">
        <v>1368</v>
      </c>
      <c r="H37" s="10">
        <v>1227</v>
      </c>
      <c r="I37" s="10"/>
      <c r="J37" s="10"/>
      <c r="K37" s="10">
        <v>2679</v>
      </c>
      <c r="L37" s="10">
        <v>2399</v>
      </c>
      <c r="M37" s="10"/>
      <c r="N37" s="10"/>
      <c r="O37" s="10"/>
      <c r="P37" s="10">
        <v>3667</v>
      </c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F37" s="102"/>
      <c r="AG37" s="9" t="s">
        <v>186</v>
      </c>
      <c r="AH37" s="10" t="s">
        <v>187</v>
      </c>
      <c r="AI37" s="10" t="s">
        <v>188</v>
      </c>
      <c r="AJ37" s="10">
        <v>1368</v>
      </c>
      <c r="AK37" s="10">
        <v>1227</v>
      </c>
      <c r="AL37" s="10">
        <v>2399</v>
      </c>
      <c r="AM37" s="10">
        <v>5689</v>
      </c>
      <c r="AN37" s="46">
        <v>3667</v>
      </c>
      <c r="AO37" s="108"/>
      <c r="AP37" s="77">
        <f t="shared" si="3"/>
        <v>0</v>
      </c>
      <c r="AQ37" s="77">
        <f t="shared" si="3"/>
        <v>0</v>
      </c>
      <c r="AR37" s="77">
        <f t="shared" si="3"/>
        <v>0</v>
      </c>
      <c r="AS37" s="77">
        <f t="shared" si="3"/>
        <v>0</v>
      </c>
      <c r="AT37" s="77">
        <f t="shared" si="3"/>
        <v>0</v>
      </c>
      <c r="AU37" s="77">
        <f t="shared" si="3"/>
        <v>0</v>
      </c>
      <c r="AV37" s="79">
        <f t="shared" si="3"/>
        <v>1</v>
      </c>
    </row>
    <row r="38" spans="1:58" ht="14.5" x14ac:dyDescent="0.3">
      <c r="A38" s="9" t="s">
        <v>189</v>
      </c>
      <c r="B38" s="10" t="s">
        <v>190</v>
      </c>
      <c r="C38" s="10" t="s">
        <v>191</v>
      </c>
      <c r="D38" s="10"/>
      <c r="E38" s="10"/>
      <c r="F38" s="10"/>
      <c r="G38" s="10">
        <v>1369</v>
      </c>
      <c r="H38" s="10">
        <v>1228</v>
      </c>
      <c r="I38" s="10"/>
      <c r="J38" s="10"/>
      <c r="K38" s="10">
        <v>2689</v>
      </c>
      <c r="L38" s="10">
        <v>2445</v>
      </c>
      <c r="M38" s="10"/>
      <c r="N38" s="10"/>
      <c r="O38" s="10"/>
      <c r="P38" s="10">
        <v>3668</v>
      </c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F38" s="102"/>
      <c r="AG38" s="9" t="s">
        <v>189</v>
      </c>
      <c r="AH38" s="10" t="s">
        <v>190</v>
      </c>
      <c r="AI38" s="10" t="s">
        <v>191</v>
      </c>
      <c r="AJ38" s="10">
        <v>1369</v>
      </c>
      <c r="AK38" s="10">
        <v>1228</v>
      </c>
      <c r="AL38" s="10">
        <v>2445</v>
      </c>
      <c r="AM38" s="10">
        <v>5789</v>
      </c>
      <c r="AN38" s="46">
        <v>3668</v>
      </c>
      <c r="AO38" s="108"/>
      <c r="AP38" s="77">
        <f t="shared" si="3"/>
        <v>0</v>
      </c>
      <c r="AQ38" s="77">
        <f t="shared" si="3"/>
        <v>0</v>
      </c>
      <c r="AR38" s="77">
        <f t="shared" si="3"/>
        <v>0</v>
      </c>
      <c r="AS38" s="77">
        <f t="shared" si="3"/>
        <v>0</v>
      </c>
      <c r="AT38" s="77">
        <f t="shared" si="3"/>
        <v>0</v>
      </c>
      <c r="AU38" s="77">
        <f t="shared" si="3"/>
        <v>1</v>
      </c>
      <c r="AV38" s="79">
        <f t="shared" si="3"/>
        <v>1</v>
      </c>
    </row>
    <row r="39" spans="1:58" ht="14.5" x14ac:dyDescent="0.3">
      <c r="A39" s="9" t="s">
        <v>192</v>
      </c>
      <c r="B39" s="10" t="s">
        <v>143</v>
      </c>
      <c r="C39" s="10" t="s">
        <v>193</v>
      </c>
      <c r="D39" s="10"/>
      <c r="E39" s="10"/>
      <c r="F39" s="10"/>
      <c r="G39" s="10">
        <v>1378</v>
      </c>
      <c r="H39" s="10">
        <v>1229</v>
      </c>
      <c r="I39" s="10"/>
      <c r="J39" s="10"/>
      <c r="K39" s="10">
        <v>2789</v>
      </c>
      <c r="L39" s="10">
        <v>2446</v>
      </c>
      <c r="M39" s="10"/>
      <c r="N39" s="10"/>
      <c r="O39" s="10"/>
      <c r="P39" s="10">
        <v>3669</v>
      </c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F39" s="102"/>
      <c r="AG39" s="9" t="s">
        <v>192</v>
      </c>
      <c r="AH39" s="10" t="s">
        <v>143</v>
      </c>
      <c r="AI39" s="10" t="s">
        <v>193</v>
      </c>
      <c r="AJ39" s="10">
        <v>1378</v>
      </c>
      <c r="AK39" s="10">
        <v>1229</v>
      </c>
      <c r="AL39" s="10">
        <v>2446</v>
      </c>
      <c r="AM39" s="10">
        <v>6789</v>
      </c>
      <c r="AN39" s="46">
        <v>3669</v>
      </c>
      <c r="AO39" s="108"/>
      <c r="AP39" s="77">
        <f t="shared" si="3"/>
        <v>1</v>
      </c>
      <c r="AQ39" s="77">
        <f t="shared" si="3"/>
        <v>0</v>
      </c>
      <c r="AR39" s="77">
        <f t="shared" si="3"/>
        <v>1</v>
      </c>
      <c r="AS39" s="77">
        <f t="shared" si="3"/>
        <v>0</v>
      </c>
      <c r="AT39" s="77">
        <f t="shared" si="3"/>
        <v>4</v>
      </c>
      <c r="AU39" s="77">
        <f t="shared" si="3"/>
        <v>0</v>
      </c>
      <c r="AV39" s="79">
        <f t="shared" si="3"/>
        <v>0</v>
      </c>
    </row>
    <row r="40" spans="1:58" s="34" customFormat="1" ht="15" thickBot="1" x14ac:dyDescent="0.35">
      <c r="A40" s="32" t="s">
        <v>194</v>
      </c>
      <c r="B40" s="33" t="s">
        <v>195</v>
      </c>
      <c r="C40" s="33" t="s">
        <v>196</v>
      </c>
      <c r="D40" s="33"/>
      <c r="E40" s="33"/>
      <c r="F40" s="33"/>
      <c r="G40" s="33">
        <v>1379</v>
      </c>
      <c r="H40" s="33">
        <v>1233</v>
      </c>
      <c r="I40" s="33"/>
      <c r="J40" s="33"/>
      <c r="K40" s="33"/>
      <c r="L40" s="33">
        <v>2447</v>
      </c>
      <c r="M40" s="33"/>
      <c r="N40" s="33"/>
      <c r="O40" s="33"/>
      <c r="P40" s="33">
        <v>3677</v>
      </c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F40" s="103"/>
      <c r="AG40" s="43" t="s">
        <v>194</v>
      </c>
      <c r="AH40" s="44" t="s">
        <v>195</v>
      </c>
      <c r="AI40" s="44" t="s">
        <v>196</v>
      </c>
      <c r="AJ40" s="44">
        <v>1379</v>
      </c>
      <c r="AK40" s="44">
        <v>1233</v>
      </c>
      <c r="AL40" s="44">
        <v>2447</v>
      </c>
      <c r="AM40" s="44"/>
      <c r="AN40" s="49">
        <v>3677</v>
      </c>
      <c r="AO40" s="109"/>
      <c r="AP40" s="80">
        <f t="shared" si="3"/>
        <v>1</v>
      </c>
      <c r="AQ40" s="80">
        <f t="shared" si="3"/>
        <v>0</v>
      </c>
      <c r="AR40" s="80">
        <f t="shared" si="3"/>
        <v>0</v>
      </c>
      <c r="AS40" s="80">
        <f t="shared" si="3"/>
        <v>0</v>
      </c>
      <c r="AT40" s="80">
        <f t="shared" si="3"/>
        <v>0</v>
      </c>
      <c r="AU40" s="80">
        <f t="shared" si="3"/>
        <v>0</v>
      </c>
      <c r="AV40" s="81">
        <f t="shared" si="3"/>
        <v>0</v>
      </c>
      <c r="AX40" s="65"/>
      <c r="AY40" s="65" t="s">
        <v>43</v>
      </c>
      <c r="AZ40" s="56" t="s">
        <v>44</v>
      </c>
      <c r="BA40" s="56" t="s">
        <v>45</v>
      </c>
      <c r="BB40" s="56" t="s">
        <v>46</v>
      </c>
      <c r="BC40" s="66" t="s">
        <v>425</v>
      </c>
      <c r="BD40" s="67" t="s">
        <v>432</v>
      </c>
      <c r="BE40" s="68" t="s">
        <v>431</v>
      </c>
      <c r="BF40" s="69"/>
    </row>
    <row r="41" spans="1:58" ht="14.5" x14ac:dyDescent="0.3">
      <c r="A41" s="9" t="s">
        <v>197</v>
      </c>
      <c r="B41" s="10" t="s">
        <v>198</v>
      </c>
      <c r="C41" s="10" t="s">
        <v>199</v>
      </c>
      <c r="D41" s="10"/>
      <c r="E41" s="10"/>
      <c r="F41" s="10"/>
      <c r="G41" s="10">
        <v>1389</v>
      </c>
      <c r="H41" s="10">
        <v>1244</v>
      </c>
      <c r="I41" s="10"/>
      <c r="J41" s="10"/>
      <c r="K41" s="10"/>
      <c r="L41" s="10">
        <v>2448</v>
      </c>
      <c r="M41" s="10"/>
      <c r="N41" s="10"/>
      <c r="O41" s="10"/>
      <c r="P41" s="10">
        <v>3688</v>
      </c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F41" s="101" t="s">
        <v>437</v>
      </c>
      <c r="AG41" s="39" t="s">
        <v>197</v>
      </c>
      <c r="AH41" s="40" t="s">
        <v>198</v>
      </c>
      <c r="AI41" s="40" t="s">
        <v>199</v>
      </c>
      <c r="AJ41" s="40">
        <v>1389</v>
      </c>
      <c r="AK41" s="40">
        <v>1244</v>
      </c>
      <c r="AL41" s="40">
        <v>2448</v>
      </c>
      <c r="AM41" s="40"/>
      <c r="AN41" s="48">
        <v>3688</v>
      </c>
      <c r="AO41" s="107">
        <f t="shared" ref="AO41" si="5">SUM(AP41:AV52)</f>
        <v>27</v>
      </c>
      <c r="AP41" s="75">
        <f t="shared" si="3"/>
        <v>0</v>
      </c>
      <c r="AQ41" s="75">
        <f t="shared" si="3"/>
        <v>0</v>
      </c>
      <c r="AR41" s="75">
        <f t="shared" si="3"/>
        <v>0</v>
      </c>
      <c r="AS41" s="75">
        <f t="shared" si="3"/>
        <v>0</v>
      </c>
      <c r="AT41" s="75">
        <f t="shared" si="3"/>
        <v>4</v>
      </c>
      <c r="AU41" s="75">
        <f t="shared" si="3"/>
        <v>0</v>
      </c>
      <c r="AV41" s="76">
        <f t="shared" si="3"/>
        <v>0</v>
      </c>
      <c r="AX41" s="70" t="s">
        <v>53</v>
      </c>
      <c r="AY41" s="55">
        <v>1446</v>
      </c>
      <c r="AZ41" s="55">
        <v>3679</v>
      </c>
      <c r="BA41" s="55">
        <v>4566</v>
      </c>
      <c r="BB41" s="55">
        <v>4567</v>
      </c>
      <c r="BC41" s="71">
        <v>3455</v>
      </c>
      <c r="BD41" s="57" t="s">
        <v>298</v>
      </c>
      <c r="BE41" s="54">
        <f>COUNTIF(AY$41:BC$63,BD41)</f>
        <v>0</v>
      </c>
      <c r="BF41" s="53"/>
    </row>
    <row r="42" spans="1:58" ht="14.5" x14ac:dyDescent="0.3">
      <c r="A42" s="9" t="s">
        <v>200</v>
      </c>
      <c r="B42" s="10" t="s">
        <v>201</v>
      </c>
      <c r="C42" s="10" t="s">
        <v>202</v>
      </c>
      <c r="D42" s="10"/>
      <c r="E42" s="10"/>
      <c r="F42" s="10"/>
      <c r="G42" s="10">
        <v>1456</v>
      </c>
      <c r="H42" s="10">
        <v>1255</v>
      </c>
      <c r="I42" s="10"/>
      <c r="J42" s="10"/>
      <c r="K42" s="10"/>
      <c r="L42" s="10">
        <v>2449</v>
      </c>
      <c r="M42" s="10"/>
      <c r="N42" s="10"/>
      <c r="O42" s="10"/>
      <c r="P42" s="10">
        <v>3699</v>
      </c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F42" s="102"/>
      <c r="AG42" s="9" t="s">
        <v>200</v>
      </c>
      <c r="AH42" s="10" t="s">
        <v>201</v>
      </c>
      <c r="AI42" s="10" t="s">
        <v>202</v>
      </c>
      <c r="AJ42" s="10">
        <v>1456</v>
      </c>
      <c r="AK42" s="10">
        <v>1255</v>
      </c>
      <c r="AL42" s="10">
        <v>2449</v>
      </c>
      <c r="AM42" s="10"/>
      <c r="AN42" s="46">
        <v>3699</v>
      </c>
      <c r="AO42" s="108"/>
      <c r="AP42" s="77">
        <f t="shared" si="3"/>
        <v>0</v>
      </c>
      <c r="AQ42" s="77">
        <f t="shared" si="3"/>
        <v>0</v>
      </c>
      <c r="AR42" s="77">
        <f t="shared" si="3"/>
        <v>3</v>
      </c>
      <c r="AS42" s="77">
        <f t="shared" si="3"/>
        <v>0</v>
      </c>
      <c r="AT42" s="77">
        <f t="shared" si="3"/>
        <v>0</v>
      </c>
      <c r="AU42" s="77">
        <f t="shared" si="3"/>
        <v>0</v>
      </c>
      <c r="AV42" s="79">
        <f t="shared" si="3"/>
        <v>0</v>
      </c>
      <c r="AX42" s="70"/>
      <c r="AY42" s="55">
        <v>2556</v>
      </c>
      <c r="AZ42" s="55">
        <v>1237</v>
      </c>
      <c r="BA42" s="55">
        <v>1388</v>
      </c>
      <c r="BB42" s="55" t="s">
        <v>49</v>
      </c>
      <c r="BC42" s="57">
        <v>4678</v>
      </c>
      <c r="BD42" s="57">
        <v>2488</v>
      </c>
      <c r="BE42" s="54">
        <f t="shared" ref="BE42:BE63" si="6">COUNTIF(AY$41:BC$63,BD42)</f>
        <v>0</v>
      </c>
      <c r="BF42" s="53"/>
    </row>
    <row r="43" spans="1:58" ht="14.5" x14ac:dyDescent="0.3">
      <c r="A43" s="9" t="s">
        <v>203</v>
      </c>
      <c r="B43" s="10" t="s">
        <v>103</v>
      </c>
      <c r="C43" s="10" t="s">
        <v>204</v>
      </c>
      <c r="D43" s="10"/>
      <c r="E43" s="10"/>
      <c r="F43" s="10"/>
      <c r="G43" s="10">
        <v>1457</v>
      </c>
      <c r="H43" s="10">
        <v>1266</v>
      </c>
      <c r="I43" s="10"/>
      <c r="J43" s="10"/>
      <c r="K43" s="10"/>
      <c r="L43" s="10">
        <v>2455</v>
      </c>
      <c r="M43" s="10"/>
      <c r="N43" s="10"/>
      <c r="O43" s="10"/>
      <c r="P43" s="10">
        <v>3778</v>
      </c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F43" s="102"/>
      <c r="AG43" s="9" t="s">
        <v>203</v>
      </c>
      <c r="AH43" s="10" t="s">
        <v>103</v>
      </c>
      <c r="AI43" s="10" t="s">
        <v>204</v>
      </c>
      <c r="AJ43" s="10">
        <v>1457</v>
      </c>
      <c r="AK43" s="10">
        <v>1266</v>
      </c>
      <c r="AL43" s="10">
        <v>2455</v>
      </c>
      <c r="AM43" s="10"/>
      <c r="AN43" s="46">
        <v>3778</v>
      </c>
      <c r="AO43" s="108"/>
      <c r="AP43" s="77">
        <f t="shared" si="3"/>
        <v>4</v>
      </c>
      <c r="AQ43" s="77">
        <f t="shared" si="3"/>
        <v>0</v>
      </c>
      <c r="AR43" s="77">
        <f t="shared" si="3"/>
        <v>3</v>
      </c>
      <c r="AS43" s="77">
        <f t="shared" si="3"/>
        <v>0</v>
      </c>
      <c r="AT43" s="77">
        <f t="shared" si="3"/>
        <v>0</v>
      </c>
      <c r="AU43" s="77">
        <f t="shared" si="3"/>
        <v>0</v>
      </c>
      <c r="AV43" s="79">
        <f t="shared" si="3"/>
        <v>0</v>
      </c>
      <c r="AX43" s="70"/>
      <c r="AY43" s="55">
        <v>2248</v>
      </c>
      <c r="AZ43" s="55" t="s">
        <v>64</v>
      </c>
      <c r="BA43" s="55" t="s">
        <v>49</v>
      </c>
      <c r="BB43" s="55">
        <v>2356</v>
      </c>
      <c r="BC43" s="57" t="s">
        <v>274</v>
      </c>
      <c r="BD43" s="57" t="s">
        <v>352</v>
      </c>
      <c r="BE43" s="54">
        <f t="shared" si="6"/>
        <v>0</v>
      </c>
      <c r="BF43" s="53"/>
    </row>
    <row r="44" spans="1:58" ht="14.5" x14ac:dyDescent="0.3">
      <c r="A44" s="9" t="s">
        <v>205</v>
      </c>
      <c r="B44" s="10" t="s">
        <v>206</v>
      </c>
      <c r="C44" s="10" t="s">
        <v>207</v>
      </c>
      <c r="D44" s="10"/>
      <c r="E44" s="10"/>
      <c r="F44" s="10"/>
      <c r="G44" s="10">
        <v>1458</v>
      </c>
      <c r="H44" s="10">
        <v>1277</v>
      </c>
      <c r="I44" s="10"/>
      <c r="J44" s="10"/>
      <c r="K44" s="10"/>
      <c r="L44" s="10">
        <v>2466</v>
      </c>
      <c r="M44" s="10"/>
      <c r="N44" s="10"/>
      <c r="O44" s="10"/>
      <c r="P44" s="10">
        <v>3779</v>
      </c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F44" s="102"/>
      <c r="AG44" s="9" t="s">
        <v>205</v>
      </c>
      <c r="AH44" s="10" t="s">
        <v>206</v>
      </c>
      <c r="AI44" s="10" t="s">
        <v>207</v>
      </c>
      <c r="AJ44" s="10">
        <v>1458</v>
      </c>
      <c r="AK44" s="10">
        <v>1277</v>
      </c>
      <c r="AL44" s="10">
        <v>2466</v>
      </c>
      <c r="AM44" s="10"/>
      <c r="AN44" s="46">
        <v>3779</v>
      </c>
      <c r="AO44" s="108"/>
      <c r="AP44" s="77">
        <f t="shared" si="3"/>
        <v>0</v>
      </c>
      <c r="AQ44" s="77">
        <f t="shared" si="3"/>
        <v>0</v>
      </c>
      <c r="AR44" s="77">
        <f t="shared" si="3"/>
        <v>0</v>
      </c>
      <c r="AS44" s="77">
        <f t="shared" si="3"/>
        <v>0</v>
      </c>
      <c r="AT44" s="77">
        <f t="shared" si="3"/>
        <v>0</v>
      </c>
      <c r="AU44" s="77">
        <f t="shared" si="3"/>
        <v>0</v>
      </c>
      <c r="AV44" s="79">
        <f t="shared" si="3"/>
        <v>0</v>
      </c>
      <c r="AX44" s="70" t="s">
        <v>70</v>
      </c>
      <c r="AY44" s="55">
        <v>5699</v>
      </c>
      <c r="AZ44" s="55">
        <v>1137</v>
      </c>
      <c r="BA44" s="55" t="s">
        <v>71</v>
      </c>
      <c r="BB44" s="55">
        <v>3679</v>
      </c>
      <c r="BC44" s="57">
        <v>4578</v>
      </c>
      <c r="BD44" s="57" t="s">
        <v>342</v>
      </c>
      <c r="BE44" s="54">
        <f t="shared" si="6"/>
        <v>0</v>
      </c>
      <c r="BF44" s="53"/>
    </row>
    <row r="45" spans="1:58" ht="14.5" x14ac:dyDescent="0.3">
      <c r="A45" s="9" t="s">
        <v>208</v>
      </c>
      <c r="B45" s="10" t="s">
        <v>209</v>
      </c>
      <c r="C45" s="10" t="s">
        <v>210</v>
      </c>
      <c r="D45" s="10"/>
      <c r="E45" s="10"/>
      <c r="F45" s="10"/>
      <c r="G45" s="10">
        <v>1459</v>
      </c>
      <c r="H45" s="10">
        <v>1288</v>
      </c>
      <c r="I45" s="10"/>
      <c r="J45" s="10"/>
      <c r="K45" s="10"/>
      <c r="L45" s="10">
        <v>2477</v>
      </c>
      <c r="M45" s="10"/>
      <c r="N45" s="10"/>
      <c r="O45" s="10"/>
      <c r="P45" s="10">
        <v>3788</v>
      </c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F45" s="102"/>
      <c r="AG45" s="9" t="s">
        <v>208</v>
      </c>
      <c r="AH45" s="10" t="s">
        <v>209</v>
      </c>
      <c r="AI45" s="10" t="s">
        <v>210</v>
      </c>
      <c r="AJ45" s="10">
        <v>1459</v>
      </c>
      <c r="AK45" s="10">
        <v>1288</v>
      </c>
      <c r="AL45" s="10">
        <v>2477</v>
      </c>
      <c r="AM45" s="10"/>
      <c r="AN45" s="46">
        <v>3788</v>
      </c>
      <c r="AO45" s="108"/>
      <c r="AP45" s="77">
        <f t="shared" si="3"/>
        <v>0</v>
      </c>
      <c r="AQ45" s="77">
        <f t="shared" si="3"/>
        <v>0</v>
      </c>
      <c r="AR45" s="77">
        <f t="shared" si="3"/>
        <v>0</v>
      </c>
      <c r="AS45" s="77">
        <f t="shared" si="3"/>
        <v>0</v>
      </c>
      <c r="AT45" s="77">
        <f t="shared" si="3"/>
        <v>0</v>
      </c>
      <c r="AU45" s="77">
        <f t="shared" si="3"/>
        <v>0</v>
      </c>
      <c r="AV45" s="79">
        <f t="shared" si="3"/>
        <v>0</v>
      </c>
      <c r="AX45" s="70"/>
      <c r="AY45" s="55">
        <v>2356</v>
      </c>
      <c r="AZ45" s="55">
        <v>2446</v>
      </c>
      <c r="BA45" s="55">
        <v>1248</v>
      </c>
      <c r="BB45" s="55">
        <v>1137</v>
      </c>
      <c r="BC45" s="57">
        <v>1447</v>
      </c>
      <c r="BD45" s="57">
        <v>3889</v>
      </c>
      <c r="BE45" s="54">
        <f t="shared" si="6"/>
        <v>0</v>
      </c>
      <c r="BF45" s="53"/>
    </row>
    <row r="46" spans="1:58" ht="14.5" x14ac:dyDescent="0.3">
      <c r="A46" s="9" t="s">
        <v>211</v>
      </c>
      <c r="B46" s="10" t="s">
        <v>212</v>
      </c>
      <c r="C46" s="10" t="s">
        <v>213</v>
      </c>
      <c r="D46" s="10"/>
      <c r="E46" s="10"/>
      <c r="F46" s="10"/>
      <c r="G46" s="10">
        <v>1467</v>
      </c>
      <c r="H46" s="10">
        <v>1299</v>
      </c>
      <c r="I46" s="10"/>
      <c r="J46" s="10"/>
      <c r="K46" s="10"/>
      <c r="L46" s="10">
        <v>2488</v>
      </c>
      <c r="M46" s="10"/>
      <c r="N46" s="10"/>
      <c r="O46" s="10"/>
      <c r="P46" s="10">
        <v>3799</v>
      </c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F46" s="102"/>
      <c r="AG46" s="9" t="s">
        <v>211</v>
      </c>
      <c r="AH46" s="10" t="s">
        <v>212</v>
      </c>
      <c r="AI46" s="10" t="s">
        <v>213</v>
      </c>
      <c r="AJ46" s="10">
        <v>1467</v>
      </c>
      <c r="AK46" s="10">
        <v>1299</v>
      </c>
      <c r="AL46" s="10">
        <v>2488</v>
      </c>
      <c r="AM46" s="10"/>
      <c r="AN46" s="46">
        <v>3799</v>
      </c>
      <c r="AO46" s="108"/>
      <c r="AP46" s="77">
        <f t="shared" si="3"/>
        <v>0</v>
      </c>
      <c r="AQ46" s="77">
        <f t="shared" si="3"/>
        <v>0</v>
      </c>
      <c r="AR46" s="77">
        <f t="shared" si="3"/>
        <v>0</v>
      </c>
      <c r="AS46" s="77">
        <f t="shared" si="3"/>
        <v>0</v>
      </c>
      <c r="AT46" s="77">
        <f t="shared" si="3"/>
        <v>1</v>
      </c>
      <c r="AU46" s="77">
        <f t="shared" si="3"/>
        <v>0</v>
      </c>
      <c r="AV46" s="79">
        <f t="shared" si="3"/>
        <v>0</v>
      </c>
      <c r="AX46" s="70"/>
      <c r="AY46" s="55">
        <v>3679</v>
      </c>
      <c r="AZ46" s="55">
        <v>1339</v>
      </c>
      <c r="BA46" s="55" t="s">
        <v>38</v>
      </c>
      <c r="BB46" s="55" t="s">
        <v>71</v>
      </c>
      <c r="BC46" s="57">
        <v>3577</v>
      </c>
      <c r="BD46" s="57">
        <v>2367</v>
      </c>
      <c r="BE46" s="54">
        <f t="shared" si="6"/>
        <v>0</v>
      </c>
      <c r="BF46" s="53"/>
    </row>
    <row r="47" spans="1:58" ht="14.5" x14ac:dyDescent="0.3">
      <c r="A47" s="9" t="s">
        <v>214</v>
      </c>
      <c r="B47" s="10" t="s">
        <v>215</v>
      </c>
      <c r="C47" s="10" t="s">
        <v>102</v>
      </c>
      <c r="D47" s="10"/>
      <c r="E47" s="10"/>
      <c r="F47" s="10"/>
      <c r="G47" s="10">
        <v>1468</v>
      </c>
      <c r="H47" s="10">
        <v>1334</v>
      </c>
      <c r="I47" s="10"/>
      <c r="J47" s="10"/>
      <c r="K47" s="10"/>
      <c r="L47" s="10">
        <v>2499</v>
      </c>
      <c r="M47" s="10"/>
      <c r="N47" s="10"/>
      <c r="O47" s="10"/>
      <c r="P47" s="10">
        <v>3889</v>
      </c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F47" s="102"/>
      <c r="AG47" s="9" t="s">
        <v>214</v>
      </c>
      <c r="AH47" s="10" t="s">
        <v>215</v>
      </c>
      <c r="AI47" s="10" t="s">
        <v>102</v>
      </c>
      <c r="AJ47" s="10">
        <v>1468</v>
      </c>
      <c r="AK47" s="10">
        <v>1334</v>
      </c>
      <c r="AL47" s="10">
        <v>2499</v>
      </c>
      <c r="AM47" s="10"/>
      <c r="AN47" s="46">
        <v>3889</v>
      </c>
      <c r="AO47" s="108"/>
      <c r="AP47" s="77">
        <f t="shared" si="3"/>
        <v>1</v>
      </c>
      <c r="AQ47" s="77">
        <f t="shared" si="3"/>
        <v>1</v>
      </c>
      <c r="AR47" s="77">
        <f t="shared" si="3"/>
        <v>0</v>
      </c>
      <c r="AS47" s="77">
        <f t="shared" si="3"/>
        <v>0</v>
      </c>
      <c r="AT47" s="77">
        <f t="shared" si="3"/>
        <v>0</v>
      </c>
      <c r="AU47" s="77">
        <f t="shared" si="3"/>
        <v>0</v>
      </c>
      <c r="AV47" s="79">
        <f t="shared" si="3"/>
        <v>1</v>
      </c>
      <c r="AX47" s="70"/>
      <c r="AY47" s="55" t="s">
        <v>51</v>
      </c>
      <c r="AZ47" s="55">
        <v>3667</v>
      </c>
      <c r="BA47" s="55">
        <v>5588</v>
      </c>
      <c r="BB47" s="55">
        <v>2446</v>
      </c>
      <c r="BC47" s="57">
        <v>1238</v>
      </c>
      <c r="BD47" s="57" t="s">
        <v>279</v>
      </c>
      <c r="BE47" s="54">
        <f t="shared" si="6"/>
        <v>0</v>
      </c>
      <c r="BF47" s="53"/>
    </row>
    <row r="48" spans="1:58" ht="14.5" x14ac:dyDescent="0.3">
      <c r="A48" s="9" t="s">
        <v>216</v>
      </c>
      <c r="B48" s="10" t="s">
        <v>217</v>
      </c>
      <c r="C48" s="10" t="s">
        <v>218</v>
      </c>
      <c r="D48" s="10"/>
      <c r="E48" s="10"/>
      <c r="F48" s="10"/>
      <c r="G48" s="10">
        <v>1469</v>
      </c>
      <c r="H48" s="10">
        <v>1335</v>
      </c>
      <c r="I48" s="10"/>
      <c r="J48" s="10"/>
      <c r="K48" s="10"/>
      <c r="L48" s="10">
        <v>2556</v>
      </c>
      <c r="M48" s="10"/>
      <c r="N48" s="10"/>
      <c r="O48" s="10"/>
      <c r="P48" s="10">
        <v>3899</v>
      </c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F48" s="102"/>
      <c r="AG48" s="9" t="s">
        <v>216</v>
      </c>
      <c r="AH48" s="10" t="s">
        <v>217</v>
      </c>
      <c r="AI48" s="10" t="s">
        <v>218</v>
      </c>
      <c r="AJ48" s="10">
        <v>1469</v>
      </c>
      <c r="AK48" s="10">
        <v>1335</v>
      </c>
      <c r="AL48" s="10">
        <v>2556</v>
      </c>
      <c r="AM48" s="10"/>
      <c r="AN48" s="46">
        <v>3899</v>
      </c>
      <c r="AO48" s="108"/>
      <c r="AP48" s="77">
        <f t="shared" si="3"/>
        <v>0</v>
      </c>
      <c r="AQ48" s="77">
        <f t="shared" si="3"/>
        <v>0</v>
      </c>
      <c r="AR48" s="77">
        <f t="shared" si="3"/>
        <v>0</v>
      </c>
      <c r="AS48" s="77">
        <f t="shared" si="3"/>
        <v>4</v>
      </c>
      <c r="AT48" s="77">
        <f t="shared" si="3"/>
        <v>0</v>
      </c>
      <c r="AU48" s="77">
        <f t="shared" si="3"/>
        <v>0</v>
      </c>
      <c r="AV48" s="79">
        <f t="shared" si="3"/>
        <v>0</v>
      </c>
      <c r="AX48" s="70"/>
      <c r="AY48" s="55">
        <v>1445</v>
      </c>
      <c r="AZ48" s="55">
        <v>2568</v>
      </c>
      <c r="BA48" s="55">
        <v>6678</v>
      </c>
      <c r="BB48" s="55" t="s">
        <v>38</v>
      </c>
      <c r="BC48" s="57">
        <v>2456</v>
      </c>
      <c r="BD48" s="71" t="s">
        <v>102</v>
      </c>
      <c r="BE48" s="54">
        <f t="shared" si="6"/>
        <v>1</v>
      </c>
      <c r="BF48" s="53"/>
    </row>
    <row r="49" spans="1:58" ht="14.5" x14ac:dyDescent="0.3">
      <c r="A49" s="9" t="s">
        <v>219</v>
      </c>
      <c r="B49" s="10" t="s">
        <v>96</v>
      </c>
      <c r="C49" s="10" t="s">
        <v>220</v>
      </c>
      <c r="D49" s="10"/>
      <c r="E49" s="10"/>
      <c r="F49" s="10"/>
      <c r="G49" s="10">
        <v>1478</v>
      </c>
      <c r="H49" s="10">
        <v>1336</v>
      </c>
      <c r="I49" s="10"/>
      <c r="J49" s="10"/>
      <c r="K49" s="10"/>
      <c r="L49" s="10">
        <v>2557</v>
      </c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F49" s="102"/>
      <c r="AG49" s="9" t="s">
        <v>219</v>
      </c>
      <c r="AH49" s="10" t="s">
        <v>96</v>
      </c>
      <c r="AI49" s="10" t="s">
        <v>220</v>
      </c>
      <c r="AJ49" s="10">
        <v>1478</v>
      </c>
      <c r="AK49" s="10">
        <v>1336</v>
      </c>
      <c r="AL49" s="10">
        <v>2557</v>
      </c>
      <c r="AM49" s="10"/>
      <c r="AN49" s="46">
        <v>4456</v>
      </c>
      <c r="AO49" s="108"/>
      <c r="AP49" s="77">
        <f t="shared" si="3"/>
        <v>3</v>
      </c>
      <c r="AQ49" s="77">
        <f t="shared" si="3"/>
        <v>0</v>
      </c>
      <c r="AR49" s="77">
        <f t="shared" si="3"/>
        <v>0</v>
      </c>
      <c r="AS49" s="77">
        <f t="shared" si="3"/>
        <v>0</v>
      </c>
      <c r="AT49" s="77">
        <f t="shared" si="3"/>
        <v>0</v>
      </c>
      <c r="AU49" s="77">
        <f t="shared" si="3"/>
        <v>0</v>
      </c>
      <c r="AV49" s="79">
        <f t="shared" si="3"/>
        <v>0</v>
      </c>
      <c r="AX49" s="70"/>
      <c r="AY49" s="55" t="s">
        <v>96</v>
      </c>
      <c r="AZ49" s="55">
        <v>1344</v>
      </c>
      <c r="BA49" s="55" t="s">
        <v>97</v>
      </c>
      <c r="BB49" s="55">
        <v>5588</v>
      </c>
      <c r="BC49" s="57">
        <v>5789</v>
      </c>
      <c r="BD49" s="57">
        <v>2368</v>
      </c>
      <c r="BE49" s="54">
        <f t="shared" si="6"/>
        <v>0</v>
      </c>
      <c r="BF49" s="53"/>
    </row>
    <row r="50" spans="1:58" ht="14.5" x14ac:dyDescent="0.3">
      <c r="A50" s="9" t="s">
        <v>221</v>
      </c>
      <c r="B50" s="10" t="s">
        <v>222</v>
      </c>
      <c r="C50" s="10" t="s">
        <v>223</v>
      </c>
      <c r="D50" s="10"/>
      <c r="E50" s="10"/>
      <c r="F50" s="10"/>
      <c r="G50" s="10">
        <v>1479</v>
      </c>
      <c r="H50" s="10">
        <v>1337</v>
      </c>
      <c r="I50" s="10"/>
      <c r="J50" s="10"/>
      <c r="K50" s="10"/>
      <c r="L50" s="10">
        <v>2558</v>
      </c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F50" s="102"/>
      <c r="AG50" s="9" t="s">
        <v>221</v>
      </c>
      <c r="AH50" s="10" t="s">
        <v>222</v>
      </c>
      <c r="AI50" s="10" t="s">
        <v>223</v>
      </c>
      <c r="AJ50" s="10">
        <v>1479</v>
      </c>
      <c r="AK50" s="10">
        <v>1337</v>
      </c>
      <c r="AL50" s="10">
        <v>2558</v>
      </c>
      <c r="AM50" s="10"/>
      <c r="AN50" s="46">
        <v>4457</v>
      </c>
      <c r="AO50" s="108"/>
      <c r="AP50" s="77">
        <f t="shared" si="3"/>
        <v>0</v>
      </c>
      <c r="AQ50" s="77">
        <f t="shared" si="3"/>
        <v>0</v>
      </c>
      <c r="AR50" s="77">
        <f t="shared" si="3"/>
        <v>0</v>
      </c>
      <c r="AS50" s="77">
        <f t="shared" si="3"/>
        <v>0</v>
      </c>
      <c r="AT50" s="77">
        <f t="shared" si="3"/>
        <v>0</v>
      </c>
      <c r="AU50" s="77">
        <f t="shared" si="3"/>
        <v>0</v>
      </c>
      <c r="AV50" s="79">
        <f t="shared" si="3"/>
        <v>0</v>
      </c>
      <c r="AX50" s="70"/>
      <c r="AY50" s="72" t="s">
        <v>102</v>
      </c>
      <c r="AZ50" s="55">
        <v>2337</v>
      </c>
      <c r="BA50" s="55">
        <v>6667</v>
      </c>
      <c r="BB50" s="55">
        <v>6678</v>
      </c>
      <c r="BC50" s="57" t="s">
        <v>307</v>
      </c>
      <c r="BD50" s="71">
        <v>3455</v>
      </c>
      <c r="BE50" s="54">
        <f t="shared" si="6"/>
        <v>1</v>
      </c>
      <c r="BF50" s="53"/>
    </row>
    <row r="51" spans="1:58" ht="14.5" x14ac:dyDescent="0.3">
      <c r="A51" s="9" t="s">
        <v>224</v>
      </c>
      <c r="B51" s="10" t="s">
        <v>225</v>
      </c>
      <c r="C51" s="10" t="s">
        <v>109</v>
      </c>
      <c r="D51" s="10"/>
      <c r="E51" s="10"/>
      <c r="F51" s="10"/>
      <c r="G51" s="10">
        <v>1489</v>
      </c>
      <c r="H51" s="10">
        <v>1338</v>
      </c>
      <c r="I51" s="10"/>
      <c r="J51" s="10"/>
      <c r="K51" s="10"/>
      <c r="L51" s="10">
        <v>2559</v>
      </c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F51" s="102"/>
      <c r="AG51" s="9" t="s">
        <v>224</v>
      </c>
      <c r="AH51" s="10" t="s">
        <v>225</v>
      </c>
      <c r="AI51" s="10" t="s">
        <v>109</v>
      </c>
      <c r="AJ51" s="10">
        <v>1489</v>
      </c>
      <c r="AK51" s="10">
        <v>1338</v>
      </c>
      <c r="AL51" s="10">
        <v>2559</v>
      </c>
      <c r="AM51" s="10"/>
      <c r="AN51" s="46">
        <v>4458</v>
      </c>
      <c r="AO51" s="108"/>
      <c r="AP51" s="77">
        <f t="shared" si="3"/>
        <v>0</v>
      </c>
      <c r="AQ51" s="77">
        <f t="shared" si="3"/>
        <v>1</v>
      </c>
      <c r="AR51" s="77">
        <f t="shared" si="3"/>
        <v>0</v>
      </c>
      <c r="AS51" s="77">
        <f t="shared" si="3"/>
        <v>0</v>
      </c>
      <c r="AT51" s="77">
        <f t="shared" si="3"/>
        <v>0</v>
      </c>
      <c r="AU51" s="77">
        <f t="shared" si="3"/>
        <v>0</v>
      </c>
      <c r="AV51" s="79">
        <f t="shared" si="3"/>
        <v>0</v>
      </c>
      <c r="AX51" s="70"/>
      <c r="AY51" s="55" t="s">
        <v>108</v>
      </c>
      <c r="AZ51" s="55">
        <v>2489</v>
      </c>
      <c r="BA51" s="55" t="s">
        <v>109</v>
      </c>
      <c r="BB51" s="55" t="s">
        <v>96</v>
      </c>
      <c r="BC51" s="57" t="s">
        <v>195</v>
      </c>
      <c r="BD51" s="57">
        <v>3379</v>
      </c>
      <c r="BE51" s="54">
        <f t="shared" si="6"/>
        <v>0</v>
      </c>
      <c r="BF51" s="53"/>
    </row>
    <row r="52" spans="1:58" ht="15" thickBot="1" x14ac:dyDescent="0.35">
      <c r="A52" s="9" t="s">
        <v>226</v>
      </c>
      <c r="B52" s="10" t="s">
        <v>227</v>
      </c>
      <c r="C52" s="10" t="s">
        <v>228</v>
      </c>
      <c r="D52" s="10"/>
      <c r="E52" s="10"/>
      <c r="F52" s="10"/>
      <c r="G52" s="10">
        <v>1567</v>
      </c>
      <c r="H52" s="10">
        <v>1339</v>
      </c>
      <c r="I52" s="10"/>
      <c r="J52" s="10"/>
      <c r="K52" s="10"/>
      <c r="L52" s="10">
        <v>2566</v>
      </c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F52" s="103"/>
      <c r="AG52" s="41" t="s">
        <v>226</v>
      </c>
      <c r="AH52" s="42" t="s">
        <v>227</v>
      </c>
      <c r="AI52" s="42" t="s">
        <v>228</v>
      </c>
      <c r="AJ52" s="42">
        <v>1567</v>
      </c>
      <c r="AK52" s="42">
        <v>1339</v>
      </c>
      <c r="AL52" s="42">
        <v>2566</v>
      </c>
      <c r="AM52" s="42"/>
      <c r="AN52" s="47">
        <v>4459</v>
      </c>
      <c r="AO52" s="109"/>
      <c r="AP52" s="80">
        <f t="shared" si="3"/>
        <v>0</v>
      </c>
      <c r="AQ52" s="80">
        <f t="shared" si="3"/>
        <v>0</v>
      </c>
      <c r="AR52" s="80">
        <f t="shared" si="3"/>
        <v>0</v>
      </c>
      <c r="AS52" s="80">
        <f t="shared" si="3"/>
        <v>1</v>
      </c>
      <c r="AT52" s="80">
        <f t="shared" si="3"/>
        <v>0</v>
      </c>
      <c r="AU52" s="80">
        <f t="shared" si="3"/>
        <v>0</v>
      </c>
      <c r="AV52" s="81">
        <f t="shared" si="3"/>
        <v>0</v>
      </c>
      <c r="AX52" s="70"/>
      <c r="AY52" s="55">
        <v>1347</v>
      </c>
      <c r="AZ52" s="55">
        <v>1668</v>
      </c>
      <c r="BA52" s="55" t="s">
        <v>113</v>
      </c>
      <c r="BB52" s="55">
        <v>1344</v>
      </c>
      <c r="BC52" s="57">
        <v>1488</v>
      </c>
      <c r="BD52" s="57">
        <v>3457</v>
      </c>
      <c r="BE52" s="54">
        <f t="shared" si="6"/>
        <v>0</v>
      </c>
      <c r="BF52" s="53"/>
    </row>
    <row r="53" spans="1:58" ht="14.5" x14ac:dyDescent="0.3">
      <c r="A53" s="9" t="s">
        <v>229</v>
      </c>
      <c r="B53" s="10" t="s">
        <v>230</v>
      </c>
      <c r="C53" s="10" t="s">
        <v>231</v>
      </c>
      <c r="D53" s="10"/>
      <c r="E53" s="10"/>
      <c r="F53" s="10"/>
      <c r="G53" s="10">
        <v>1568</v>
      </c>
      <c r="H53" s="10">
        <v>1344</v>
      </c>
      <c r="I53" s="10"/>
      <c r="J53" s="10"/>
      <c r="K53" s="10"/>
      <c r="L53" s="10">
        <v>2577</v>
      </c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F53" s="101" t="s">
        <v>438</v>
      </c>
      <c r="AG53" s="39" t="s">
        <v>229</v>
      </c>
      <c r="AH53" s="40" t="s">
        <v>230</v>
      </c>
      <c r="AI53" s="40" t="s">
        <v>231</v>
      </c>
      <c r="AJ53" s="40">
        <v>1568</v>
      </c>
      <c r="AK53" s="40">
        <v>1344</v>
      </c>
      <c r="AL53" s="40">
        <v>2577</v>
      </c>
      <c r="AM53" s="40"/>
      <c r="AN53" s="48">
        <v>4467</v>
      </c>
      <c r="AO53" s="107">
        <f t="shared" ref="AO53" si="7">SUM(AP53:AV64)</f>
        <v>21</v>
      </c>
      <c r="AP53" s="75">
        <f t="shared" si="3"/>
        <v>0</v>
      </c>
      <c r="AQ53" s="75">
        <f t="shared" si="3"/>
        <v>0</v>
      </c>
      <c r="AR53" s="75">
        <f t="shared" si="3"/>
        <v>0</v>
      </c>
      <c r="AS53" s="75">
        <f t="shared" si="3"/>
        <v>4</v>
      </c>
      <c r="AT53" s="75">
        <f t="shared" si="3"/>
        <v>0</v>
      </c>
      <c r="AU53" s="75">
        <f t="shared" si="3"/>
        <v>0</v>
      </c>
      <c r="AV53" s="76">
        <f t="shared" si="3"/>
        <v>0</v>
      </c>
      <c r="AX53" s="70"/>
      <c r="AY53" s="55">
        <v>5689</v>
      </c>
      <c r="AZ53" s="55">
        <v>1367</v>
      </c>
      <c r="BA53" s="55">
        <v>1356</v>
      </c>
      <c r="BB53" s="55">
        <v>6667</v>
      </c>
      <c r="BC53" s="57">
        <v>2378</v>
      </c>
      <c r="BD53" s="57">
        <v>2278</v>
      </c>
      <c r="BE53" s="54">
        <f t="shared" si="6"/>
        <v>0</v>
      </c>
      <c r="BF53" s="53"/>
    </row>
    <row r="54" spans="1:58" ht="14.5" x14ac:dyDescent="0.3">
      <c r="A54" s="9" t="s">
        <v>232</v>
      </c>
      <c r="B54" s="10" t="s">
        <v>233</v>
      </c>
      <c r="C54" s="10" t="s">
        <v>113</v>
      </c>
      <c r="D54" s="10"/>
      <c r="E54" s="10"/>
      <c r="F54" s="10"/>
      <c r="G54" s="10">
        <v>1569</v>
      </c>
      <c r="H54" s="10">
        <v>1355</v>
      </c>
      <c r="I54" s="10"/>
      <c r="J54" s="10"/>
      <c r="K54" s="10"/>
      <c r="L54" s="10">
        <v>2588</v>
      </c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F54" s="102"/>
      <c r="AG54" s="9" t="s">
        <v>232</v>
      </c>
      <c r="AH54" s="10" t="s">
        <v>233</v>
      </c>
      <c r="AI54" s="10" t="s">
        <v>113</v>
      </c>
      <c r="AJ54" s="10">
        <v>1569</v>
      </c>
      <c r="AK54" s="10">
        <v>1355</v>
      </c>
      <c r="AL54" s="10">
        <v>2588</v>
      </c>
      <c r="AM54" s="10"/>
      <c r="AN54" s="46">
        <v>4468</v>
      </c>
      <c r="AO54" s="108"/>
      <c r="AP54" s="77">
        <f t="shared" si="3"/>
        <v>0</v>
      </c>
      <c r="AQ54" s="77">
        <f t="shared" si="3"/>
        <v>1</v>
      </c>
      <c r="AR54" s="77">
        <f t="shared" si="3"/>
        <v>0</v>
      </c>
      <c r="AS54" s="77">
        <f t="shared" si="3"/>
        <v>2</v>
      </c>
      <c r="AT54" s="77">
        <f t="shared" si="3"/>
        <v>0</v>
      </c>
      <c r="AU54" s="77">
        <f t="shared" si="3"/>
        <v>0</v>
      </c>
      <c r="AV54" s="79">
        <f t="shared" si="3"/>
        <v>0</v>
      </c>
      <c r="AX54" s="70" t="s">
        <v>122</v>
      </c>
      <c r="AY54" s="55">
        <v>1679</v>
      </c>
      <c r="AZ54" s="55" t="s">
        <v>49</v>
      </c>
      <c r="BA54" s="55">
        <v>2356</v>
      </c>
      <c r="BB54" s="55">
        <v>2489</v>
      </c>
      <c r="BC54" s="57" t="s">
        <v>215</v>
      </c>
      <c r="BD54" s="57">
        <v>7899</v>
      </c>
      <c r="BE54" s="54">
        <f t="shared" si="6"/>
        <v>0</v>
      </c>
      <c r="BF54" s="53"/>
    </row>
    <row r="55" spans="1:58" ht="14.5" x14ac:dyDescent="0.3">
      <c r="A55" s="9" t="s">
        <v>234</v>
      </c>
      <c r="B55" s="10" t="s">
        <v>235</v>
      </c>
      <c r="C55" s="10" t="s">
        <v>236</v>
      </c>
      <c r="D55" s="10"/>
      <c r="E55" s="10"/>
      <c r="F55" s="10"/>
      <c r="G55" s="10">
        <v>1577</v>
      </c>
      <c r="H55" s="10">
        <v>1377</v>
      </c>
      <c r="I55" s="10"/>
      <c r="J55" s="10"/>
      <c r="K55" s="10"/>
      <c r="L55" s="10">
        <v>2599</v>
      </c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F55" s="102"/>
      <c r="AG55" s="9" t="s">
        <v>234</v>
      </c>
      <c r="AH55" s="10" t="s">
        <v>235</v>
      </c>
      <c r="AI55" s="10" t="s">
        <v>236</v>
      </c>
      <c r="AJ55" s="10">
        <v>1577</v>
      </c>
      <c r="AK55" s="10">
        <v>1377</v>
      </c>
      <c r="AL55" s="10">
        <v>2599</v>
      </c>
      <c r="AM55" s="10"/>
      <c r="AN55" s="46">
        <v>4469</v>
      </c>
      <c r="AO55" s="108"/>
      <c r="AP55" s="77">
        <f t="shared" si="3"/>
        <v>0</v>
      </c>
      <c r="AQ55" s="77">
        <f t="shared" si="3"/>
        <v>0</v>
      </c>
      <c r="AR55" s="77">
        <f t="shared" si="3"/>
        <v>1</v>
      </c>
      <c r="AS55" s="77">
        <f t="shared" si="3"/>
        <v>0</v>
      </c>
      <c r="AT55" s="77">
        <f t="shared" si="3"/>
        <v>0</v>
      </c>
      <c r="AU55" s="77">
        <f t="shared" si="3"/>
        <v>0</v>
      </c>
      <c r="AV55" s="79">
        <f t="shared" si="3"/>
        <v>1</v>
      </c>
      <c r="AX55" s="70"/>
      <c r="AY55" s="55">
        <v>5578</v>
      </c>
      <c r="AZ55" s="55">
        <v>1356</v>
      </c>
      <c r="BA55" s="55">
        <v>1355</v>
      </c>
      <c r="BB55" s="55">
        <v>5699</v>
      </c>
      <c r="BC55" s="57">
        <v>3467</v>
      </c>
      <c r="BD55" s="57">
        <v>4579</v>
      </c>
      <c r="BE55" s="54">
        <f t="shared" si="6"/>
        <v>0</v>
      </c>
      <c r="BF55" s="53"/>
    </row>
    <row r="56" spans="1:58" ht="14.5" x14ac:dyDescent="0.3">
      <c r="A56" s="9" t="s">
        <v>237</v>
      </c>
      <c r="B56" s="10" t="s">
        <v>238</v>
      </c>
      <c r="C56" s="10" t="s">
        <v>239</v>
      </c>
      <c r="D56" s="10"/>
      <c r="E56" s="10"/>
      <c r="F56" s="10"/>
      <c r="G56" s="10">
        <v>1578</v>
      </c>
      <c r="H56" s="10">
        <v>1388</v>
      </c>
      <c r="I56" s="10"/>
      <c r="J56" s="10"/>
      <c r="K56" s="10"/>
      <c r="L56" s="10">
        <v>2667</v>
      </c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F56" s="102"/>
      <c r="AG56" s="9" t="s">
        <v>237</v>
      </c>
      <c r="AH56" s="10" t="s">
        <v>238</v>
      </c>
      <c r="AI56" s="10" t="s">
        <v>239</v>
      </c>
      <c r="AJ56" s="10">
        <v>1578</v>
      </c>
      <c r="AK56" s="10">
        <v>1388</v>
      </c>
      <c r="AL56" s="10">
        <v>2667</v>
      </c>
      <c r="AM56" s="10"/>
      <c r="AN56" s="46">
        <v>4478</v>
      </c>
      <c r="AO56" s="108"/>
      <c r="AP56" s="77">
        <f t="shared" si="3"/>
        <v>0</v>
      </c>
      <c r="AQ56" s="77">
        <f t="shared" si="3"/>
        <v>0</v>
      </c>
      <c r="AR56" s="77">
        <f t="shared" si="3"/>
        <v>1</v>
      </c>
      <c r="AS56" s="77">
        <f t="shared" si="3"/>
        <v>3</v>
      </c>
      <c r="AT56" s="77">
        <f t="shared" si="3"/>
        <v>0</v>
      </c>
      <c r="AU56" s="77">
        <f t="shared" si="3"/>
        <v>0</v>
      </c>
      <c r="AV56" s="79">
        <f t="shared" si="3"/>
        <v>0</v>
      </c>
      <c r="AX56" s="70"/>
      <c r="AY56" s="55">
        <v>1344</v>
      </c>
      <c r="AZ56" s="55" t="s">
        <v>94</v>
      </c>
      <c r="BA56" s="55" t="s">
        <v>106</v>
      </c>
      <c r="BB56" s="55">
        <v>1356</v>
      </c>
      <c r="BC56" s="57">
        <v>4469</v>
      </c>
      <c r="BD56" s="57">
        <v>1578</v>
      </c>
      <c r="BE56" s="54">
        <f t="shared" si="6"/>
        <v>0</v>
      </c>
      <c r="BF56" s="53"/>
    </row>
    <row r="57" spans="1:58" ht="14.5" x14ac:dyDescent="0.3">
      <c r="A57" s="9" t="s">
        <v>240</v>
      </c>
      <c r="B57" s="10" t="s">
        <v>241</v>
      </c>
      <c r="C57" s="10" t="s">
        <v>242</v>
      </c>
      <c r="D57" s="10"/>
      <c r="E57" s="10"/>
      <c r="F57" s="10"/>
      <c r="G57" s="10">
        <v>1579</v>
      </c>
      <c r="H57" s="10">
        <v>1399</v>
      </c>
      <c r="I57" s="10"/>
      <c r="J57" s="10"/>
      <c r="K57" s="10"/>
      <c r="L57" s="10">
        <v>2668</v>
      </c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F57" s="102"/>
      <c r="AG57" s="9" t="s">
        <v>240</v>
      </c>
      <c r="AH57" s="10" t="s">
        <v>241</v>
      </c>
      <c r="AI57" s="10" t="s">
        <v>242</v>
      </c>
      <c r="AJ57" s="10">
        <v>1579</v>
      </c>
      <c r="AK57" s="10">
        <v>1399</v>
      </c>
      <c r="AL57" s="10">
        <v>2668</v>
      </c>
      <c r="AM57" s="10"/>
      <c r="AN57" s="46">
        <v>4479</v>
      </c>
      <c r="AO57" s="108"/>
      <c r="AP57" s="77">
        <f t="shared" si="3"/>
        <v>0</v>
      </c>
      <c r="AQ57" s="77">
        <f t="shared" si="3"/>
        <v>0</v>
      </c>
      <c r="AR57" s="77">
        <f t="shared" si="3"/>
        <v>0</v>
      </c>
      <c r="AS57" s="77">
        <f t="shared" si="3"/>
        <v>0</v>
      </c>
      <c r="AT57" s="77">
        <f t="shared" si="3"/>
        <v>0</v>
      </c>
      <c r="AU57" s="77">
        <f t="shared" si="3"/>
        <v>0</v>
      </c>
      <c r="AV57" s="79">
        <f t="shared" si="3"/>
        <v>0</v>
      </c>
      <c r="AX57" s="70"/>
      <c r="AY57" s="55">
        <v>1457</v>
      </c>
      <c r="AZ57" s="55" t="s">
        <v>135</v>
      </c>
      <c r="BA57" s="55">
        <v>3599</v>
      </c>
      <c r="BB57" s="55">
        <v>1347</v>
      </c>
      <c r="BC57" s="57" t="s">
        <v>88</v>
      </c>
      <c r="BD57" s="57">
        <v>1577</v>
      </c>
      <c r="BE57" s="54">
        <f t="shared" si="6"/>
        <v>0</v>
      </c>
      <c r="BF57" s="53"/>
    </row>
    <row r="58" spans="1:58" ht="14.5" x14ac:dyDescent="0.3">
      <c r="A58" s="9" t="s">
        <v>243</v>
      </c>
      <c r="B58" s="10" t="s">
        <v>244</v>
      </c>
      <c r="C58" s="10" t="s">
        <v>245</v>
      </c>
      <c r="D58" s="10"/>
      <c r="E58" s="10"/>
      <c r="F58" s="10"/>
      <c r="G58" s="10">
        <v>1589</v>
      </c>
      <c r="H58" s="10">
        <v>1445</v>
      </c>
      <c r="I58" s="10"/>
      <c r="J58" s="10"/>
      <c r="K58" s="10"/>
      <c r="L58" s="10">
        <v>2669</v>
      </c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F58" s="102"/>
      <c r="AG58" s="9" t="s">
        <v>243</v>
      </c>
      <c r="AH58" s="10" t="s">
        <v>244</v>
      </c>
      <c r="AI58" s="10" t="s">
        <v>245</v>
      </c>
      <c r="AJ58" s="10">
        <v>1589</v>
      </c>
      <c r="AK58" s="10">
        <v>1445</v>
      </c>
      <c r="AL58" s="10">
        <v>2669</v>
      </c>
      <c r="AM58" s="10"/>
      <c r="AN58" s="46">
        <v>4489</v>
      </c>
      <c r="AO58" s="108"/>
      <c r="AP58" s="77">
        <f t="shared" si="3"/>
        <v>0</v>
      </c>
      <c r="AQ58" s="77">
        <f t="shared" si="3"/>
        <v>0</v>
      </c>
      <c r="AR58" s="77">
        <f t="shared" si="3"/>
        <v>1</v>
      </c>
      <c r="AS58" s="77">
        <f t="shared" ref="AS58:AV112" si="8">COUNTIF($AZ$6:$FT$28,AK58)</f>
        <v>0</v>
      </c>
      <c r="AT58" s="77">
        <f t="shared" si="8"/>
        <v>0</v>
      </c>
      <c r="AU58" s="77">
        <f t="shared" si="8"/>
        <v>0</v>
      </c>
      <c r="AV58" s="79">
        <f t="shared" si="8"/>
        <v>0</v>
      </c>
      <c r="AX58" s="70"/>
      <c r="AY58" s="55">
        <v>3568</v>
      </c>
      <c r="AZ58" s="55" t="s">
        <v>95</v>
      </c>
      <c r="BA58" s="55" t="s">
        <v>139</v>
      </c>
      <c r="BB58" s="55">
        <v>1679</v>
      </c>
      <c r="BC58" s="57" t="s">
        <v>135</v>
      </c>
      <c r="BD58" s="57" t="s">
        <v>248</v>
      </c>
      <c r="BE58" s="54">
        <f t="shared" si="6"/>
        <v>0</v>
      </c>
      <c r="BF58" s="53"/>
    </row>
    <row r="59" spans="1:58" ht="14.5" x14ac:dyDescent="0.3">
      <c r="A59" s="9" t="s">
        <v>246</v>
      </c>
      <c r="B59" s="10" t="s">
        <v>247</v>
      </c>
      <c r="C59" s="10" t="s">
        <v>248</v>
      </c>
      <c r="D59" s="10"/>
      <c r="E59" s="10"/>
      <c r="F59" s="10"/>
      <c r="G59" s="10">
        <v>1678</v>
      </c>
      <c r="H59" s="10">
        <v>1446</v>
      </c>
      <c r="I59" s="10"/>
      <c r="J59" s="10"/>
      <c r="K59" s="10"/>
      <c r="L59" s="10">
        <v>2677</v>
      </c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F59" s="102"/>
      <c r="AG59" s="9" t="s">
        <v>246</v>
      </c>
      <c r="AH59" s="10" t="s">
        <v>247</v>
      </c>
      <c r="AI59" s="10" t="s">
        <v>248</v>
      </c>
      <c r="AJ59" s="10">
        <v>1678</v>
      </c>
      <c r="AK59" s="10">
        <v>1446</v>
      </c>
      <c r="AL59" s="10">
        <v>2677</v>
      </c>
      <c r="AM59" s="10"/>
      <c r="AN59" s="46">
        <v>4556</v>
      </c>
      <c r="AO59" s="108"/>
      <c r="AP59" s="77">
        <f t="shared" ref="AP59:AR112" si="9">COUNTIF($AZ$6:$FT$28,AH59)</f>
        <v>0</v>
      </c>
      <c r="AQ59" s="77">
        <f t="shared" si="9"/>
        <v>1</v>
      </c>
      <c r="AR59" s="77">
        <f t="shared" si="9"/>
        <v>0</v>
      </c>
      <c r="AS59" s="77">
        <f t="shared" si="8"/>
        <v>0</v>
      </c>
      <c r="AT59" s="77">
        <f t="shared" si="8"/>
        <v>0</v>
      </c>
      <c r="AU59" s="77">
        <f t="shared" si="8"/>
        <v>0</v>
      </c>
      <c r="AV59" s="79">
        <f t="shared" si="8"/>
        <v>0</v>
      </c>
      <c r="AX59" s="70"/>
      <c r="AY59" s="55">
        <v>1137</v>
      </c>
      <c r="AZ59" s="55">
        <v>1589</v>
      </c>
      <c r="BA59" s="55" t="s">
        <v>143</v>
      </c>
      <c r="BB59" s="55">
        <v>1457</v>
      </c>
      <c r="BC59" s="57">
        <v>2356</v>
      </c>
      <c r="BD59" s="57">
        <v>4679</v>
      </c>
      <c r="BE59" s="54">
        <f t="shared" si="6"/>
        <v>0</v>
      </c>
      <c r="BF59" s="53"/>
    </row>
    <row r="60" spans="1:58" ht="14.5" x14ac:dyDescent="0.3">
      <c r="A60" s="9" t="s">
        <v>249</v>
      </c>
      <c r="B60" s="10" t="s">
        <v>250</v>
      </c>
      <c r="C60" s="10" t="s">
        <v>251</v>
      </c>
      <c r="D60" s="10"/>
      <c r="E60" s="10"/>
      <c r="F60" s="10"/>
      <c r="G60" s="10">
        <v>1679</v>
      </c>
      <c r="H60" s="10">
        <v>1447</v>
      </c>
      <c r="I60" s="10"/>
      <c r="J60" s="10"/>
      <c r="K60" s="10"/>
      <c r="L60" s="10">
        <v>2688</v>
      </c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F60" s="102"/>
      <c r="AG60" s="9" t="s">
        <v>249</v>
      </c>
      <c r="AH60" s="10" t="s">
        <v>250</v>
      </c>
      <c r="AI60" s="10" t="s">
        <v>251</v>
      </c>
      <c r="AJ60" s="10">
        <v>1679</v>
      </c>
      <c r="AK60" s="10">
        <v>1447</v>
      </c>
      <c r="AL60" s="10">
        <v>2688</v>
      </c>
      <c r="AM60" s="10"/>
      <c r="AN60" s="46">
        <v>4557</v>
      </c>
      <c r="AO60" s="108"/>
      <c r="AP60" s="77">
        <f t="shared" si="9"/>
        <v>0</v>
      </c>
      <c r="AQ60" s="77">
        <f t="shared" si="9"/>
        <v>0</v>
      </c>
      <c r="AR60" s="77">
        <f t="shared" si="9"/>
        <v>3</v>
      </c>
      <c r="AS60" s="77">
        <f t="shared" si="8"/>
        <v>1</v>
      </c>
      <c r="AT60" s="77">
        <f t="shared" si="8"/>
        <v>0</v>
      </c>
      <c r="AU60" s="77">
        <f t="shared" si="8"/>
        <v>0</v>
      </c>
      <c r="AV60" s="79">
        <f t="shared" si="8"/>
        <v>0</v>
      </c>
      <c r="AX60" s="70"/>
      <c r="AY60" s="55">
        <v>1335</v>
      </c>
      <c r="AZ60" s="55">
        <v>1335</v>
      </c>
      <c r="BA60" s="55">
        <v>1456</v>
      </c>
      <c r="BB60" s="55">
        <v>3568</v>
      </c>
      <c r="BC60" s="57">
        <v>2355</v>
      </c>
      <c r="BD60" s="57">
        <v>4568</v>
      </c>
      <c r="BE60" s="54">
        <f t="shared" si="6"/>
        <v>0</v>
      </c>
      <c r="BF60" s="53"/>
    </row>
    <row r="61" spans="1:58" ht="14.5" x14ac:dyDescent="0.3">
      <c r="A61" s="9" t="s">
        <v>252</v>
      </c>
      <c r="B61" s="10" t="s">
        <v>253</v>
      </c>
      <c r="C61" s="10" t="s">
        <v>254</v>
      </c>
      <c r="D61" s="10"/>
      <c r="E61" s="10"/>
      <c r="F61" s="10"/>
      <c r="G61" s="10">
        <v>1689</v>
      </c>
      <c r="H61" s="10">
        <v>1448</v>
      </c>
      <c r="I61" s="10"/>
      <c r="J61" s="10"/>
      <c r="K61" s="10"/>
      <c r="L61" s="10">
        <v>2699</v>
      </c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F61" s="102"/>
      <c r="AG61" s="9" t="s">
        <v>252</v>
      </c>
      <c r="AH61" s="10" t="s">
        <v>253</v>
      </c>
      <c r="AI61" s="10" t="s">
        <v>254</v>
      </c>
      <c r="AJ61" s="10">
        <v>1689</v>
      </c>
      <c r="AK61" s="10">
        <v>1448</v>
      </c>
      <c r="AL61" s="10">
        <v>2699</v>
      </c>
      <c r="AM61" s="10"/>
      <c r="AN61" s="46">
        <v>4558</v>
      </c>
      <c r="AO61" s="108"/>
      <c r="AP61" s="77">
        <f t="shared" si="9"/>
        <v>0</v>
      </c>
      <c r="AQ61" s="77">
        <f t="shared" si="9"/>
        <v>0</v>
      </c>
      <c r="AR61" s="77">
        <f t="shared" si="9"/>
        <v>0</v>
      </c>
      <c r="AS61" s="77">
        <f t="shared" si="8"/>
        <v>0</v>
      </c>
      <c r="AT61" s="77">
        <f t="shared" si="8"/>
        <v>0</v>
      </c>
      <c r="AU61" s="77">
        <f t="shared" si="8"/>
        <v>0</v>
      </c>
      <c r="AV61" s="79">
        <f t="shared" si="8"/>
        <v>0</v>
      </c>
      <c r="AX61" s="70"/>
      <c r="AY61" s="55" t="s">
        <v>149</v>
      </c>
      <c r="AZ61" s="55">
        <v>1246</v>
      </c>
      <c r="BA61" s="55">
        <v>2448</v>
      </c>
      <c r="BB61" s="55">
        <v>1335</v>
      </c>
      <c r="BC61" s="57" t="s">
        <v>314</v>
      </c>
      <c r="BD61" s="57">
        <v>6666</v>
      </c>
      <c r="BE61" s="54">
        <f t="shared" si="6"/>
        <v>0</v>
      </c>
      <c r="BF61" s="53"/>
    </row>
    <row r="62" spans="1:58" ht="14.5" x14ac:dyDescent="0.3">
      <c r="A62" s="9" t="s">
        <v>255</v>
      </c>
      <c r="B62" s="10" t="s">
        <v>256</v>
      </c>
      <c r="C62" s="10" t="s">
        <v>257</v>
      </c>
      <c r="D62" s="10"/>
      <c r="E62" s="10"/>
      <c r="F62" s="10"/>
      <c r="G62" s="10">
        <v>1789</v>
      </c>
      <c r="H62" s="10">
        <v>1449</v>
      </c>
      <c r="I62" s="10"/>
      <c r="J62" s="10"/>
      <c r="K62" s="10"/>
      <c r="L62" s="10">
        <v>2778</v>
      </c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F62" s="102"/>
      <c r="AG62" s="9" t="s">
        <v>255</v>
      </c>
      <c r="AH62" s="10" t="s">
        <v>256</v>
      </c>
      <c r="AI62" s="10" t="s">
        <v>257</v>
      </c>
      <c r="AJ62" s="10">
        <v>1789</v>
      </c>
      <c r="AK62" s="10">
        <v>1449</v>
      </c>
      <c r="AL62" s="10">
        <v>2778</v>
      </c>
      <c r="AM62" s="10"/>
      <c r="AN62" s="46">
        <v>4559</v>
      </c>
      <c r="AO62" s="108"/>
      <c r="AP62" s="77">
        <f t="shared" si="9"/>
        <v>0</v>
      </c>
      <c r="AQ62" s="77">
        <f t="shared" si="9"/>
        <v>0</v>
      </c>
      <c r="AR62" s="77">
        <f t="shared" si="9"/>
        <v>0</v>
      </c>
      <c r="AS62" s="77">
        <f t="shared" si="8"/>
        <v>0</v>
      </c>
      <c r="AT62" s="77">
        <f t="shared" si="8"/>
        <v>0</v>
      </c>
      <c r="AU62" s="77">
        <f t="shared" si="8"/>
        <v>0</v>
      </c>
      <c r="AV62" s="79">
        <f t="shared" si="8"/>
        <v>0</v>
      </c>
      <c r="AX62" s="70"/>
      <c r="AY62" s="55">
        <v>1148</v>
      </c>
      <c r="AZ62" s="55" t="s">
        <v>153</v>
      </c>
      <c r="BA62" s="55">
        <v>3668</v>
      </c>
      <c r="BB62" s="55">
        <v>2448</v>
      </c>
      <c r="BC62" s="57">
        <v>1378</v>
      </c>
      <c r="BD62" s="57">
        <v>1258</v>
      </c>
      <c r="BE62" s="54">
        <f t="shared" si="6"/>
        <v>0</v>
      </c>
      <c r="BF62" s="53"/>
    </row>
    <row r="63" spans="1:58" ht="14.5" x14ac:dyDescent="0.3">
      <c r="A63" s="9" t="s">
        <v>258</v>
      </c>
      <c r="B63" s="10" t="s">
        <v>64</v>
      </c>
      <c r="C63" s="10" t="s">
        <v>259</v>
      </c>
      <c r="D63" s="10"/>
      <c r="E63" s="10"/>
      <c r="F63" s="10"/>
      <c r="G63" s="10"/>
      <c r="H63" s="10">
        <v>1455</v>
      </c>
      <c r="I63" s="10"/>
      <c r="J63" s="10"/>
      <c r="K63" s="10"/>
      <c r="L63" s="10">
        <v>2779</v>
      </c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F63" s="102"/>
      <c r="AG63" s="9" t="s">
        <v>258</v>
      </c>
      <c r="AH63" s="10" t="s">
        <v>64</v>
      </c>
      <c r="AI63" s="10" t="s">
        <v>259</v>
      </c>
      <c r="AJ63" s="10">
        <v>2345</v>
      </c>
      <c r="AK63" s="10">
        <v>1455</v>
      </c>
      <c r="AL63" s="10">
        <v>2779</v>
      </c>
      <c r="AM63" s="10"/>
      <c r="AN63" s="46">
        <v>4566</v>
      </c>
      <c r="AO63" s="108"/>
      <c r="AP63" s="77">
        <f t="shared" si="9"/>
        <v>1</v>
      </c>
      <c r="AQ63" s="77">
        <f t="shared" si="9"/>
        <v>0</v>
      </c>
      <c r="AR63" s="77">
        <f t="shared" si="9"/>
        <v>0</v>
      </c>
      <c r="AS63" s="77">
        <f t="shared" si="8"/>
        <v>0</v>
      </c>
      <c r="AT63" s="77">
        <f t="shared" si="8"/>
        <v>0</v>
      </c>
      <c r="AU63" s="77">
        <f t="shared" si="8"/>
        <v>0</v>
      </c>
      <c r="AV63" s="79">
        <f t="shared" si="8"/>
        <v>1</v>
      </c>
      <c r="AX63" s="70"/>
      <c r="AY63" s="55">
        <v>1277</v>
      </c>
      <c r="AZ63" s="55">
        <v>2678</v>
      </c>
      <c r="BA63" s="55" t="s">
        <v>103</v>
      </c>
      <c r="BB63" s="55" t="s">
        <v>103</v>
      </c>
      <c r="BC63" s="57">
        <v>3358</v>
      </c>
      <c r="BD63" s="57" t="s">
        <v>120</v>
      </c>
      <c r="BE63" s="54">
        <f t="shared" si="6"/>
        <v>0</v>
      </c>
      <c r="BF63" s="53"/>
    </row>
    <row r="64" spans="1:58" ht="15" thickBot="1" x14ac:dyDescent="0.35">
      <c r="A64" s="9" t="s">
        <v>260</v>
      </c>
      <c r="B64" s="10" t="s">
        <v>261</v>
      </c>
      <c r="C64" s="10" t="s">
        <v>262</v>
      </c>
      <c r="D64" s="10"/>
      <c r="E64" s="10"/>
      <c r="F64" s="10"/>
      <c r="G64" s="10"/>
      <c r="H64" s="10">
        <v>1466</v>
      </c>
      <c r="I64" s="10"/>
      <c r="J64" s="10"/>
      <c r="K64" s="10"/>
      <c r="L64" s="10">
        <v>2788</v>
      </c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F64" s="103"/>
      <c r="AG64" s="41" t="s">
        <v>260</v>
      </c>
      <c r="AH64" s="42" t="s">
        <v>261</v>
      </c>
      <c r="AI64" s="42" t="s">
        <v>262</v>
      </c>
      <c r="AJ64" s="42">
        <v>2346</v>
      </c>
      <c r="AK64" s="42">
        <v>1466</v>
      </c>
      <c r="AL64" s="42">
        <v>2788</v>
      </c>
      <c r="AM64" s="42"/>
      <c r="AN64" s="47">
        <v>4577</v>
      </c>
      <c r="AO64" s="109"/>
      <c r="AP64" s="80">
        <f t="shared" si="9"/>
        <v>0</v>
      </c>
      <c r="AQ64" s="80">
        <f t="shared" si="9"/>
        <v>0</v>
      </c>
      <c r="AR64" s="80">
        <f t="shared" si="9"/>
        <v>0</v>
      </c>
      <c r="AS64" s="80">
        <f t="shared" si="8"/>
        <v>0</v>
      </c>
      <c r="AT64" s="80">
        <f t="shared" si="8"/>
        <v>0</v>
      </c>
      <c r="AU64" s="80">
        <f t="shared" si="8"/>
        <v>0</v>
      </c>
      <c r="AV64" s="81">
        <f t="shared" si="8"/>
        <v>0</v>
      </c>
      <c r="BC64" s="73">
        <v>0.17</v>
      </c>
      <c r="BD64" s="74">
        <f>2/23</f>
        <v>8.6956521739130432E-2</v>
      </c>
    </row>
    <row r="65" spans="1:48" ht="14.5" x14ac:dyDescent="0.3">
      <c r="A65" s="9" t="s">
        <v>263</v>
      </c>
      <c r="B65" s="10" t="s">
        <v>264</v>
      </c>
      <c r="C65" s="10" t="s">
        <v>265</v>
      </c>
      <c r="D65" s="10"/>
      <c r="E65" s="10"/>
      <c r="F65" s="10"/>
      <c r="G65" s="10"/>
      <c r="H65" s="10">
        <v>1477</v>
      </c>
      <c r="I65" s="10"/>
      <c r="J65" s="10"/>
      <c r="K65" s="10"/>
      <c r="L65" s="10">
        <v>2799</v>
      </c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F65" s="101" t="s">
        <v>439</v>
      </c>
      <c r="AG65" s="39" t="s">
        <v>263</v>
      </c>
      <c r="AH65" s="40" t="s">
        <v>264</v>
      </c>
      <c r="AI65" s="40" t="s">
        <v>265</v>
      </c>
      <c r="AJ65" s="40">
        <v>2347</v>
      </c>
      <c r="AK65" s="40">
        <v>1477</v>
      </c>
      <c r="AL65" s="40">
        <v>2799</v>
      </c>
      <c r="AM65" s="40"/>
      <c r="AN65" s="48">
        <v>4588</v>
      </c>
      <c r="AO65" s="107">
        <f t="shared" ref="AO65" si="10">SUM(AP65:AV76)</f>
        <v>16</v>
      </c>
      <c r="AP65" s="75">
        <f t="shared" si="9"/>
        <v>0</v>
      </c>
      <c r="AQ65" s="75">
        <f t="shared" si="9"/>
        <v>0</v>
      </c>
      <c r="AR65" s="75">
        <f t="shared" si="9"/>
        <v>0</v>
      </c>
      <c r="AS65" s="75">
        <f t="shared" si="8"/>
        <v>0</v>
      </c>
      <c r="AT65" s="75">
        <f t="shared" si="8"/>
        <v>0</v>
      </c>
      <c r="AU65" s="75">
        <f t="shared" si="8"/>
        <v>0</v>
      </c>
      <c r="AV65" s="76">
        <f t="shared" si="8"/>
        <v>0</v>
      </c>
    </row>
    <row r="66" spans="1:48" ht="14.5" x14ac:dyDescent="0.3">
      <c r="A66" s="9" t="s">
        <v>266</v>
      </c>
      <c r="B66" s="10" t="s">
        <v>267</v>
      </c>
      <c r="C66" s="10" t="s">
        <v>268</v>
      </c>
      <c r="D66" s="10"/>
      <c r="E66" s="10"/>
      <c r="F66" s="10"/>
      <c r="G66" s="10"/>
      <c r="H66" s="10">
        <v>1488</v>
      </c>
      <c r="I66" s="10"/>
      <c r="J66" s="10"/>
      <c r="K66" s="10"/>
      <c r="L66" s="10">
        <v>2889</v>
      </c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F66" s="102"/>
      <c r="AG66" s="9" t="s">
        <v>266</v>
      </c>
      <c r="AH66" s="10" t="s">
        <v>267</v>
      </c>
      <c r="AI66" s="10" t="s">
        <v>268</v>
      </c>
      <c r="AJ66" s="10">
        <v>2348</v>
      </c>
      <c r="AK66" s="10">
        <v>1488</v>
      </c>
      <c r="AL66" s="10">
        <v>2889</v>
      </c>
      <c r="AM66" s="10"/>
      <c r="AN66" s="46">
        <v>4599</v>
      </c>
      <c r="AO66" s="108"/>
      <c r="AP66" s="77">
        <f t="shared" si="9"/>
        <v>0</v>
      </c>
      <c r="AQ66" s="77">
        <f t="shared" si="9"/>
        <v>0</v>
      </c>
      <c r="AR66" s="77">
        <f t="shared" si="9"/>
        <v>0</v>
      </c>
      <c r="AS66" s="77">
        <f t="shared" si="8"/>
        <v>1</v>
      </c>
      <c r="AT66" s="77">
        <f t="shared" si="8"/>
        <v>0</v>
      </c>
      <c r="AU66" s="77">
        <f t="shared" si="8"/>
        <v>0</v>
      </c>
      <c r="AV66" s="79">
        <f t="shared" si="8"/>
        <v>0</v>
      </c>
    </row>
    <row r="67" spans="1:48" ht="14.5" x14ac:dyDescent="0.3">
      <c r="A67" s="9" t="s">
        <v>269</v>
      </c>
      <c r="B67" s="10" t="s">
        <v>270</v>
      </c>
      <c r="C67" s="10" t="s">
        <v>271</v>
      </c>
      <c r="D67" s="10"/>
      <c r="E67" s="10"/>
      <c r="F67" s="10"/>
      <c r="G67" s="10"/>
      <c r="H67" s="10">
        <v>1499</v>
      </c>
      <c r="I67" s="10"/>
      <c r="J67" s="10"/>
      <c r="K67" s="10"/>
      <c r="L67" s="10">
        <v>2899</v>
      </c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F67" s="102"/>
      <c r="AG67" s="9" t="s">
        <v>269</v>
      </c>
      <c r="AH67" s="10" t="s">
        <v>270</v>
      </c>
      <c r="AI67" s="10" t="s">
        <v>271</v>
      </c>
      <c r="AJ67" s="10">
        <v>2349</v>
      </c>
      <c r="AK67" s="10">
        <v>1499</v>
      </c>
      <c r="AL67" s="10">
        <v>2899</v>
      </c>
      <c r="AM67" s="10"/>
      <c r="AN67" s="46">
        <v>4667</v>
      </c>
      <c r="AO67" s="108"/>
      <c r="AP67" s="77">
        <f t="shared" si="9"/>
        <v>0</v>
      </c>
      <c r="AQ67" s="77">
        <f t="shared" si="9"/>
        <v>0</v>
      </c>
      <c r="AR67" s="77">
        <f t="shared" si="9"/>
        <v>0</v>
      </c>
      <c r="AS67" s="77">
        <f t="shared" si="8"/>
        <v>0</v>
      </c>
      <c r="AT67" s="77">
        <f t="shared" si="8"/>
        <v>0</v>
      </c>
      <c r="AU67" s="77">
        <f t="shared" si="8"/>
        <v>0</v>
      </c>
      <c r="AV67" s="79">
        <f t="shared" si="8"/>
        <v>0</v>
      </c>
    </row>
    <row r="68" spans="1:48" ht="14.5" x14ac:dyDescent="0.3">
      <c r="A68" s="9" t="s">
        <v>272</v>
      </c>
      <c r="B68" s="10" t="s">
        <v>273</v>
      </c>
      <c r="C68" s="10" t="s">
        <v>274</v>
      </c>
      <c r="D68" s="10"/>
      <c r="E68" s="10"/>
      <c r="F68" s="10"/>
      <c r="G68" s="10"/>
      <c r="H68" s="10">
        <v>1556</v>
      </c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F68" s="102"/>
      <c r="AG68" s="9" t="s">
        <v>272</v>
      </c>
      <c r="AH68" s="10" t="s">
        <v>273</v>
      </c>
      <c r="AI68" s="10" t="s">
        <v>274</v>
      </c>
      <c r="AJ68" s="10">
        <v>2356</v>
      </c>
      <c r="AK68" s="10">
        <v>1556</v>
      </c>
      <c r="AL68" s="10"/>
      <c r="AM68" s="10"/>
      <c r="AN68" s="46">
        <v>4668</v>
      </c>
      <c r="AO68" s="108"/>
      <c r="AP68" s="77">
        <f t="shared" si="9"/>
        <v>0</v>
      </c>
      <c r="AQ68" s="77">
        <f t="shared" si="9"/>
        <v>1</v>
      </c>
      <c r="AR68" s="77">
        <f t="shared" si="9"/>
        <v>5</v>
      </c>
      <c r="AS68" s="77">
        <f t="shared" si="8"/>
        <v>0</v>
      </c>
      <c r="AT68" s="77">
        <f t="shared" si="8"/>
        <v>0</v>
      </c>
      <c r="AU68" s="77">
        <f t="shared" si="8"/>
        <v>0</v>
      </c>
      <c r="AV68" s="79">
        <f t="shared" si="8"/>
        <v>0</v>
      </c>
    </row>
    <row r="69" spans="1:48" ht="14.5" x14ac:dyDescent="0.3">
      <c r="A69" s="9" t="s">
        <v>275</v>
      </c>
      <c r="B69" s="10" t="s">
        <v>276</v>
      </c>
      <c r="C69" s="10" t="s">
        <v>277</v>
      </c>
      <c r="D69" s="10"/>
      <c r="E69" s="10"/>
      <c r="F69" s="10"/>
      <c r="G69" s="10"/>
      <c r="H69" s="10">
        <v>1557</v>
      </c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F69" s="102"/>
      <c r="AG69" s="9" t="s">
        <v>275</v>
      </c>
      <c r="AH69" s="10" t="s">
        <v>276</v>
      </c>
      <c r="AI69" s="10" t="s">
        <v>277</v>
      </c>
      <c r="AJ69" s="10">
        <v>2357</v>
      </c>
      <c r="AK69" s="10">
        <v>1557</v>
      </c>
      <c r="AL69" s="10"/>
      <c r="AM69" s="10"/>
      <c r="AN69" s="46">
        <v>4669</v>
      </c>
      <c r="AO69" s="108"/>
      <c r="AP69" s="77">
        <f t="shared" si="9"/>
        <v>0</v>
      </c>
      <c r="AQ69" s="77">
        <f t="shared" si="9"/>
        <v>0</v>
      </c>
      <c r="AR69" s="77">
        <f t="shared" si="9"/>
        <v>0</v>
      </c>
      <c r="AS69" s="77">
        <f t="shared" si="8"/>
        <v>0</v>
      </c>
      <c r="AT69" s="77">
        <f t="shared" si="8"/>
        <v>0</v>
      </c>
      <c r="AU69" s="77">
        <f t="shared" si="8"/>
        <v>0</v>
      </c>
      <c r="AV69" s="79">
        <f t="shared" si="8"/>
        <v>0</v>
      </c>
    </row>
    <row r="70" spans="1:48" ht="14.5" x14ac:dyDescent="0.3">
      <c r="A70" s="9" t="s">
        <v>278</v>
      </c>
      <c r="B70" s="10" t="s">
        <v>279</v>
      </c>
      <c r="C70" s="10" t="s">
        <v>280</v>
      </c>
      <c r="D70" s="10"/>
      <c r="E70" s="10"/>
      <c r="F70" s="10"/>
      <c r="G70" s="10"/>
      <c r="H70" s="10">
        <v>1558</v>
      </c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F70" s="102"/>
      <c r="AG70" s="9" t="s">
        <v>278</v>
      </c>
      <c r="AH70" s="10" t="s">
        <v>279</v>
      </c>
      <c r="AI70" s="10" t="s">
        <v>280</v>
      </c>
      <c r="AJ70" s="10">
        <v>2358</v>
      </c>
      <c r="AK70" s="10">
        <v>1558</v>
      </c>
      <c r="AL70" s="10"/>
      <c r="AM70" s="10"/>
      <c r="AN70" s="46">
        <v>4677</v>
      </c>
      <c r="AO70" s="108"/>
      <c r="AP70" s="77">
        <f t="shared" si="9"/>
        <v>1</v>
      </c>
      <c r="AQ70" s="77">
        <f t="shared" si="9"/>
        <v>0</v>
      </c>
      <c r="AR70" s="77">
        <f t="shared" si="9"/>
        <v>0</v>
      </c>
      <c r="AS70" s="77">
        <f t="shared" si="8"/>
        <v>0</v>
      </c>
      <c r="AT70" s="77">
        <f t="shared" si="8"/>
        <v>0</v>
      </c>
      <c r="AU70" s="77">
        <f t="shared" si="8"/>
        <v>0</v>
      </c>
      <c r="AV70" s="79">
        <f t="shared" si="8"/>
        <v>0</v>
      </c>
    </row>
    <row r="71" spans="1:48" ht="14.5" x14ac:dyDescent="0.3">
      <c r="A71" s="9" t="s">
        <v>281</v>
      </c>
      <c r="B71" s="10" t="s">
        <v>282</v>
      </c>
      <c r="C71" s="10" t="s">
        <v>283</v>
      </c>
      <c r="D71" s="10"/>
      <c r="E71" s="10"/>
      <c r="F71" s="10"/>
      <c r="G71" s="10"/>
      <c r="H71" s="10">
        <v>1559</v>
      </c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F71" s="102"/>
      <c r="AG71" s="9" t="s">
        <v>281</v>
      </c>
      <c r="AH71" s="10" t="s">
        <v>282</v>
      </c>
      <c r="AI71" s="10" t="s">
        <v>283</v>
      </c>
      <c r="AJ71" s="10">
        <v>2359</v>
      </c>
      <c r="AK71" s="10">
        <v>1559</v>
      </c>
      <c r="AL71" s="10"/>
      <c r="AM71" s="10"/>
      <c r="AN71" s="46">
        <v>4688</v>
      </c>
      <c r="AO71" s="108"/>
      <c r="AP71" s="77">
        <f t="shared" si="9"/>
        <v>0</v>
      </c>
      <c r="AQ71" s="77">
        <f t="shared" si="9"/>
        <v>0</v>
      </c>
      <c r="AR71" s="77">
        <f t="shared" si="9"/>
        <v>0</v>
      </c>
      <c r="AS71" s="77">
        <f t="shared" si="8"/>
        <v>0</v>
      </c>
      <c r="AT71" s="77">
        <f t="shared" si="8"/>
        <v>0</v>
      </c>
      <c r="AU71" s="77">
        <f t="shared" si="8"/>
        <v>0</v>
      </c>
      <c r="AV71" s="79">
        <f t="shared" si="8"/>
        <v>0</v>
      </c>
    </row>
    <row r="72" spans="1:48" ht="14.5" x14ac:dyDescent="0.3">
      <c r="A72" s="9" t="s">
        <v>284</v>
      </c>
      <c r="B72" s="10" t="s">
        <v>71</v>
      </c>
      <c r="C72" s="10" t="s">
        <v>149</v>
      </c>
      <c r="D72" s="10"/>
      <c r="E72" s="10"/>
      <c r="F72" s="10"/>
      <c r="G72" s="10"/>
      <c r="H72" s="10">
        <v>1566</v>
      </c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F72" s="102"/>
      <c r="AG72" s="9" t="s">
        <v>284</v>
      </c>
      <c r="AH72" s="10" t="s">
        <v>71</v>
      </c>
      <c r="AI72" s="10" t="s">
        <v>149</v>
      </c>
      <c r="AJ72" s="10">
        <v>2367</v>
      </c>
      <c r="AK72" s="10">
        <v>1566</v>
      </c>
      <c r="AL72" s="10"/>
      <c r="AM72" s="10"/>
      <c r="AN72" s="46">
        <v>4699</v>
      </c>
      <c r="AO72" s="108"/>
      <c r="AP72" s="77">
        <f t="shared" si="9"/>
        <v>4</v>
      </c>
      <c r="AQ72" s="77">
        <f t="shared" si="9"/>
        <v>0</v>
      </c>
      <c r="AR72" s="77">
        <f t="shared" si="9"/>
        <v>1</v>
      </c>
      <c r="AS72" s="77">
        <f t="shared" si="8"/>
        <v>0</v>
      </c>
      <c r="AT72" s="77">
        <f t="shared" si="8"/>
        <v>0</v>
      </c>
      <c r="AU72" s="77">
        <f t="shared" si="8"/>
        <v>0</v>
      </c>
      <c r="AV72" s="79">
        <f t="shared" si="8"/>
        <v>0</v>
      </c>
    </row>
    <row r="73" spans="1:48" ht="14.5" x14ac:dyDescent="0.3">
      <c r="A73" s="9" t="s">
        <v>285</v>
      </c>
      <c r="B73" s="10" t="s">
        <v>286</v>
      </c>
      <c r="C73" s="10" t="s">
        <v>287</v>
      </c>
      <c r="D73" s="10"/>
      <c r="E73" s="10"/>
      <c r="F73" s="10"/>
      <c r="G73" s="10"/>
      <c r="H73" s="10">
        <v>1588</v>
      </c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F73" s="102"/>
      <c r="AG73" s="9" t="s">
        <v>285</v>
      </c>
      <c r="AH73" s="10" t="s">
        <v>286</v>
      </c>
      <c r="AI73" s="10" t="s">
        <v>287</v>
      </c>
      <c r="AJ73" s="10">
        <v>2368</v>
      </c>
      <c r="AK73" s="10">
        <v>1588</v>
      </c>
      <c r="AL73" s="10"/>
      <c r="AM73" s="10"/>
      <c r="AN73" s="46">
        <v>4778</v>
      </c>
      <c r="AO73" s="108"/>
      <c r="AP73" s="77">
        <f t="shared" si="9"/>
        <v>0</v>
      </c>
      <c r="AQ73" s="77">
        <f t="shared" si="9"/>
        <v>0</v>
      </c>
      <c r="AR73" s="77">
        <f t="shared" si="9"/>
        <v>1</v>
      </c>
      <c r="AS73" s="77">
        <f t="shared" si="8"/>
        <v>0</v>
      </c>
      <c r="AT73" s="77">
        <f t="shared" si="8"/>
        <v>0</v>
      </c>
      <c r="AU73" s="77">
        <f t="shared" si="8"/>
        <v>0</v>
      </c>
      <c r="AV73" s="79">
        <f t="shared" si="8"/>
        <v>0</v>
      </c>
    </row>
    <row r="74" spans="1:48" ht="14.5" x14ac:dyDescent="0.3">
      <c r="A74" s="9" t="s">
        <v>288</v>
      </c>
      <c r="B74" s="10" t="s">
        <v>289</v>
      </c>
      <c r="C74" s="10" t="s">
        <v>290</v>
      </c>
      <c r="D74" s="10"/>
      <c r="E74" s="10"/>
      <c r="F74" s="10"/>
      <c r="G74" s="10"/>
      <c r="H74" s="10">
        <v>1599</v>
      </c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F74" s="102"/>
      <c r="AG74" s="9" t="s">
        <v>288</v>
      </c>
      <c r="AH74" s="10" t="s">
        <v>289</v>
      </c>
      <c r="AI74" s="10" t="s">
        <v>290</v>
      </c>
      <c r="AJ74" s="10">
        <v>2369</v>
      </c>
      <c r="AK74" s="10">
        <v>1599</v>
      </c>
      <c r="AL74" s="10"/>
      <c r="AM74" s="10"/>
      <c r="AN74" s="46">
        <v>4779</v>
      </c>
      <c r="AO74" s="108"/>
      <c r="AP74" s="77">
        <f t="shared" si="9"/>
        <v>0</v>
      </c>
      <c r="AQ74" s="77">
        <f t="shared" si="9"/>
        <v>0</v>
      </c>
      <c r="AR74" s="77">
        <f t="shared" si="9"/>
        <v>0</v>
      </c>
      <c r="AS74" s="77">
        <f t="shared" si="8"/>
        <v>0</v>
      </c>
      <c r="AT74" s="77">
        <f t="shared" si="8"/>
        <v>0</v>
      </c>
      <c r="AU74" s="77">
        <f t="shared" si="8"/>
        <v>0</v>
      </c>
      <c r="AV74" s="79">
        <f t="shared" si="8"/>
        <v>0</v>
      </c>
    </row>
    <row r="75" spans="1:48" ht="14.5" x14ac:dyDescent="0.3">
      <c r="A75" s="9" t="s">
        <v>291</v>
      </c>
      <c r="B75" s="10" t="s">
        <v>292</v>
      </c>
      <c r="C75" s="10" t="s">
        <v>293</v>
      </c>
      <c r="D75" s="10"/>
      <c r="E75" s="10"/>
      <c r="F75" s="10"/>
      <c r="G75" s="10"/>
      <c r="H75" s="10">
        <v>1667</v>
      </c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F75" s="102"/>
      <c r="AG75" s="9" t="s">
        <v>291</v>
      </c>
      <c r="AH75" s="10" t="s">
        <v>292</v>
      </c>
      <c r="AI75" s="10" t="s">
        <v>293</v>
      </c>
      <c r="AJ75" s="10">
        <v>2378</v>
      </c>
      <c r="AK75" s="10">
        <v>1667</v>
      </c>
      <c r="AL75" s="10"/>
      <c r="AM75" s="10"/>
      <c r="AN75" s="46">
        <v>4788</v>
      </c>
      <c r="AO75" s="108"/>
      <c r="AP75" s="77">
        <f t="shared" si="9"/>
        <v>0</v>
      </c>
      <c r="AQ75" s="77">
        <f t="shared" si="9"/>
        <v>0</v>
      </c>
      <c r="AR75" s="77">
        <f t="shared" si="9"/>
        <v>1</v>
      </c>
      <c r="AS75" s="77">
        <f t="shared" si="8"/>
        <v>0</v>
      </c>
      <c r="AT75" s="77">
        <f t="shared" si="8"/>
        <v>0</v>
      </c>
      <c r="AU75" s="77">
        <f t="shared" si="8"/>
        <v>0</v>
      </c>
      <c r="AV75" s="79">
        <f t="shared" si="8"/>
        <v>0</v>
      </c>
    </row>
    <row r="76" spans="1:48" ht="15" thickBot="1" x14ac:dyDescent="0.35">
      <c r="A76" s="9" t="s">
        <v>294</v>
      </c>
      <c r="B76" s="10" t="s">
        <v>295</v>
      </c>
      <c r="C76" s="10" t="s">
        <v>296</v>
      </c>
      <c r="D76" s="10"/>
      <c r="E76" s="10"/>
      <c r="F76" s="10"/>
      <c r="G76" s="10"/>
      <c r="H76" s="10">
        <v>1668</v>
      </c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F76" s="103"/>
      <c r="AG76" s="41" t="s">
        <v>294</v>
      </c>
      <c r="AH76" s="42" t="s">
        <v>295</v>
      </c>
      <c r="AI76" s="42" t="s">
        <v>296</v>
      </c>
      <c r="AJ76" s="42">
        <v>2379</v>
      </c>
      <c r="AK76" s="42">
        <v>1668</v>
      </c>
      <c r="AL76" s="42"/>
      <c r="AM76" s="42"/>
      <c r="AN76" s="47">
        <v>4799</v>
      </c>
      <c r="AO76" s="109"/>
      <c r="AP76" s="80">
        <f t="shared" si="9"/>
        <v>0</v>
      </c>
      <c r="AQ76" s="80">
        <f t="shared" si="9"/>
        <v>0</v>
      </c>
      <c r="AR76" s="80">
        <f t="shared" si="9"/>
        <v>0</v>
      </c>
      <c r="AS76" s="80">
        <f t="shared" si="8"/>
        <v>1</v>
      </c>
      <c r="AT76" s="80">
        <f t="shared" si="8"/>
        <v>0</v>
      </c>
      <c r="AU76" s="80">
        <f t="shared" si="8"/>
        <v>0</v>
      </c>
      <c r="AV76" s="81">
        <f t="shared" si="8"/>
        <v>0</v>
      </c>
    </row>
    <row r="77" spans="1:48" ht="14.5" x14ac:dyDescent="0.3">
      <c r="A77" s="9" t="s">
        <v>297</v>
      </c>
      <c r="B77" s="10" t="s">
        <v>298</v>
      </c>
      <c r="C77" s="10" t="s">
        <v>299</v>
      </c>
      <c r="D77" s="10"/>
      <c r="E77" s="10"/>
      <c r="F77" s="10"/>
      <c r="G77" s="10"/>
      <c r="H77" s="10">
        <v>1669</v>
      </c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F77" s="101" t="s">
        <v>440</v>
      </c>
      <c r="AG77" s="39" t="s">
        <v>297</v>
      </c>
      <c r="AH77" s="40" t="s">
        <v>298</v>
      </c>
      <c r="AI77" s="40" t="s">
        <v>299</v>
      </c>
      <c r="AJ77" s="40">
        <v>2389</v>
      </c>
      <c r="AK77" s="40">
        <v>1669</v>
      </c>
      <c r="AL77" s="40"/>
      <c r="AM77" s="40"/>
      <c r="AN77" s="48">
        <v>4889</v>
      </c>
      <c r="AO77" s="107">
        <f t="shared" ref="AO77" si="11">SUM(AP77:AV88)</f>
        <v>11</v>
      </c>
      <c r="AP77" s="75">
        <f t="shared" si="9"/>
        <v>1</v>
      </c>
      <c r="AQ77" s="75">
        <f t="shared" si="9"/>
        <v>0</v>
      </c>
      <c r="AR77" s="75">
        <f t="shared" si="9"/>
        <v>0</v>
      </c>
      <c r="AS77" s="75">
        <f t="shared" si="8"/>
        <v>0</v>
      </c>
      <c r="AT77" s="75">
        <f t="shared" si="8"/>
        <v>0</v>
      </c>
      <c r="AU77" s="75">
        <f t="shared" si="8"/>
        <v>0</v>
      </c>
      <c r="AV77" s="76">
        <f t="shared" si="8"/>
        <v>0</v>
      </c>
    </row>
    <row r="78" spans="1:48" ht="14.5" x14ac:dyDescent="0.3">
      <c r="A78" s="9" t="s">
        <v>300</v>
      </c>
      <c r="B78" s="10" t="s">
        <v>301</v>
      </c>
      <c r="C78" s="10" t="s">
        <v>302</v>
      </c>
      <c r="D78" s="10"/>
      <c r="E78" s="10"/>
      <c r="F78" s="10"/>
      <c r="G78" s="10"/>
      <c r="H78" s="10">
        <v>1677</v>
      </c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F78" s="102"/>
      <c r="AG78" s="9" t="s">
        <v>300</v>
      </c>
      <c r="AH78" s="10" t="s">
        <v>301</v>
      </c>
      <c r="AI78" s="10" t="s">
        <v>302</v>
      </c>
      <c r="AJ78" s="10">
        <v>2456</v>
      </c>
      <c r="AK78" s="10">
        <v>1677</v>
      </c>
      <c r="AL78" s="10"/>
      <c r="AM78" s="10"/>
      <c r="AN78" s="46">
        <v>4899</v>
      </c>
      <c r="AO78" s="108"/>
      <c r="AP78" s="77">
        <f t="shared" si="9"/>
        <v>0</v>
      </c>
      <c r="AQ78" s="77">
        <f t="shared" si="9"/>
        <v>0</v>
      </c>
      <c r="AR78" s="77">
        <f t="shared" si="9"/>
        <v>1</v>
      </c>
      <c r="AS78" s="77">
        <f t="shared" si="8"/>
        <v>0</v>
      </c>
      <c r="AT78" s="77">
        <f t="shared" si="8"/>
        <v>0</v>
      </c>
      <c r="AU78" s="77">
        <f t="shared" si="8"/>
        <v>0</v>
      </c>
      <c r="AV78" s="79">
        <f t="shared" si="8"/>
        <v>0</v>
      </c>
    </row>
    <row r="79" spans="1:48" ht="14.5" x14ac:dyDescent="0.3">
      <c r="A79" s="9" t="s">
        <v>303</v>
      </c>
      <c r="B79" s="10" t="s">
        <v>304</v>
      </c>
      <c r="C79" s="10" t="s">
        <v>305</v>
      </c>
      <c r="D79" s="10"/>
      <c r="E79" s="10"/>
      <c r="F79" s="10"/>
      <c r="G79" s="10"/>
      <c r="H79" s="10">
        <v>1688</v>
      </c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F79" s="102"/>
      <c r="AG79" s="9" t="s">
        <v>303</v>
      </c>
      <c r="AH79" s="10" t="s">
        <v>304</v>
      </c>
      <c r="AI79" s="10" t="s">
        <v>305</v>
      </c>
      <c r="AJ79" s="10">
        <v>2457</v>
      </c>
      <c r="AK79" s="10">
        <v>1688</v>
      </c>
      <c r="AL79" s="10"/>
      <c r="AM79" s="10"/>
      <c r="AN79" s="46">
        <v>5567</v>
      </c>
      <c r="AO79" s="108"/>
      <c r="AP79" s="77">
        <f t="shared" si="9"/>
        <v>0</v>
      </c>
      <c r="AQ79" s="77">
        <f t="shared" si="9"/>
        <v>0</v>
      </c>
      <c r="AR79" s="77">
        <f t="shared" si="9"/>
        <v>0</v>
      </c>
      <c r="AS79" s="77">
        <f t="shared" si="8"/>
        <v>0</v>
      </c>
      <c r="AT79" s="77">
        <f t="shared" si="8"/>
        <v>0</v>
      </c>
      <c r="AU79" s="77">
        <f t="shared" si="8"/>
        <v>0</v>
      </c>
      <c r="AV79" s="79">
        <f t="shared" si="8"/>
        <v>0</v>
      </c>
    </row>
    <row r="80" spans="1:48" ht="14.5" x14ac:dyDescent="0.3">
      <c r="A80" s="9" t="s">
        <v>306</v>
      </c>
      <c r="B80" s="10" t="s">
        <v>307</v>
      </c>
      <c r="C80" s="10" t="s">
        <v>308</v>
      </c>
      <c r="D80" s="10"/>
      <c r="E80" s="10"/>
      <c r="F80" s="10"/>
      <c r="G80" s="10"/>
      <c r="H80" s="10">
        <v>1699</v>
      </c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F80" s="102"/>
      <c r="AG80" s="9" t="s">
        <v>306</v>
      </c>
      <c r="AH80" s="10" t="s">
        <v>307</v>
      </c>
      <c r="AI80" s="10" t="s">
        <v>308</v>
      </c>
      <c r="AJ80" s="10">
        <v>2458</v>
      </c>
      <c r="AK80" s="10">
        <v>1699</v>
      </c>
      <c r="AL80" s="10"/>
      <c r="AM80" s="10"/>
      <c r="AN80" s="46">
        <v>5568</v>
      </c>
      <c r="AO80" s="108"/>
      <c r="AP80" s="77">
        <f t="shared" si="9"/>
        <v>1</v>
      </c>
      <c r="AQ80" s="77">
        <f t="shared" si="9"/>
        <v>0</v>
      </c>
      <c r="AR80" s="77">
        <f t="shared" si="9"/>
        <v>0</v>
      </c>
      <c r="AS80" s="77">
        <f t="shared" si="8"/>
        <v>0</v>
      </c>
      <c r="AT80" s="77">
        <f t="shared" si="8"/>
        <v>0</v>
      </c>
      <c r="AU80" s="77">
        <f t="shared" si="8"/>
        <v>0</v>
      </c>
      <c r="AV80" s="79">
        <f t="shared" si="8"/>
        <v>0</v>
      </c>
    </row>
    <row r="81" spans="1:48" ht="14.5" x14ac:dyDescent="0.3">
      <c r="A81" s="9" t="s">
        <v>309</v>
      </c>
      <c r="B81" s="10" t="s">
        <v>310</v>
      </c>
      <c r="C81" s="10" t="s">
        <v>311</v>
      </c>
      <c r="D81" s="10"/>
      <c r="E81" s="10"/>
      <c r="F81" s="10"/>
      <c r="G81" s="10"/>
      <c r="H81" s="10">
        <v>1778</v>
      </c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F81" s="102"/>
      <c r="AG81" s="9" t="s">
        <v>309</v>
      </c>
      <c r="AH81" s="10" t="s">
        <v>310</v>
      </c>
      <c r="AI81" s="10" t="s">
        <v>311</v>
      </c>
      <c r="AJ81" s="10">
        <v>2459</v>
      </c>
      <c r="AK81" s="10">
        <v>1778</v>
      </c>
      <c r="AL81" s="10"/>
      <c r="AM81" s="10"/>
      <c r="AN81" s="46">
        <v>5569</v>
      </c>
      <c r="AO81" s="108"/>
      <c r="AP81" s="77">
        <f t="shared" si="9"/>
        <v>0</v>
      </c>
      <c r="AQ81" s="77">
        <f t="shared" si="9"/>
        <v>0</v>
      </c>
      <c r="AR81" s="77">
        <f t="shared" si="9"/>
        <v>0</v>
      </c>
      <c r="AS81" s="77">
        <f t="shared" si="8"/>
        <v>0</v>
      </c>
      <c r="AT81" s="77">
        <f t="shared" si="8"/>
        <v>0</v>
      </c>
      <c r="AU81" s="77">
        <f t="shared" si="8"/>
        <v>0</v>
      </c>
      <c r="AV81" s="79">
        <f t="shared" si="8"/>
        <v>0</v>
      </c>
    </row>
    <row r="82" spans="1:48" ht="14.5" x14ac:dyDescent="0.3">
      <c r="A82" s="9" t="s">
        <v>312</v>
      </c>
      <c r="B82" s="10" t="s">
        <v>313</v>
      </c>
      <c r="C82" s="10" t="s">
        <v>314</v>
      </c>
      <c r="D82" s="10"/>
      <c r="E82" s="10"/>
      <c r="F82" s="10"/>
      <c r="G82" s="10"/>
      <c r="H82" s="10">
        <v>1779</v>
      </c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F82" s="102"/>
      <c r="AG82" s="9" t="s">
        <v>312</v>
      </c>
      <c r="AH82" s="10" t="s">
        <v>313</v>
      </c>
      <c r="AI82" s="10" t="s">
        <v>314</v>
      </c>
      <c r="AJ82" s="10">
        <v>2467</v>
      </c>
      <c r="AK82" s="10">
        <v>1779</v>
      </c>
      <c r="AL82" s="10"/>
      <c r="AM82" s="10"/>
      <c r="AN82" s="46">
        <v>5578</v>
      </c>
      <c r="AO82" s="108"/>
      <c r="AP82" s="77">
        <f t="shared" si="9"/>
        <v>0</v>
      </c>
      <c r="AQ82" s="77">
        <f t="shared" si="9"/>
        <v>1</v>
      </c>
      <c r="AR82" s="77">
        <f t="shared" si="9"/>
        <v>0</v>
      </c>
      <c r="AS82" s="77">
        <f t="shared" si="8"/>
        <v>0</v>
      </c>
      <c r="AT82" s="77">
        <f t="shared" si="8"/>
        <v>0</v>
      </c>
      <c r="AU82" s="77">
        <f t="shared" si="8"/>
        <v>0</v>
      </c>
      <c r="AV82" s="79">
        <f t="shared" si="8"/>
        <v>0</v>
      </c>
    </row>
    <row r="83" spans="1:48" ht="14.5" x14ac:dyDescent="0.3">
      <c r="A83" s="9" t="s">
        <v>315</v>
      </c>
      <c r="B83" s="10" t="s">
        <v>135</v>
      </c>
      <c r="C83" s="10" t="s">
        <v>316</v>
      </c>
      <c r="D83" s="10"/>
      <c r="E83" s="10"/>
      <c r="F83" s="10"/>
      <c r="G83" s="10"/>
      <c r="H83" s="10">
        <v>1788</v>
      </c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F83" s="102"/>
      <c r="AG83" s="9" t="s">
        <v>315</v>
      </c>
      <c r="AH83" s="10" t="s">
        <v>135</v>
      </c>
      <c r="AI83" s="10" t="s">
        <v>316</v>
      </c>
      <c r="AJ83" s="10">
        <v>2468</v>
      </c>
      <c r="AK83" s="10">
        <v>1788</v>
      </c>
      <c r="AL83" s="10"/>
      <c r="AM83" s="10"/>
      <c r="AN83" s="46">
        <v>5579</v>
      </c>
      <c r="AO83" s="108"/>
      <c r="AP83" s="77">
        <f t="shared" si="9"/>
        <v>2</v>
      </c>
      <c r="AQ83" s="77">
        <f t="shared" si="9"/>
        <v>0</v>
      </c>
      <c r="AR83" s="77">
        <f t="shared" si="9"/>
        <v>0</v>
      </c>
      <c r="AS83" s="77">
        <f t="shared" si="8"/>
        <v>0</v>
      </c>
      <c r="AT83" s="77">
        <f t="shared" si="8"/>
        <v>0</v>
      </c>
      <c r="AU83" s="77">
        <f t="shared" si="8"/>
        <v>0</v>
      </c>
      <c r="AV83" s="79">
        <f t="shared" si="8"/>
        <v>0</v>
      </c>
    </row>
    <row r="84" spans="1:48" ht="14.5" x14ac:dyDescent="0.3">
      <c r="A84" s="9" t="s">
        <v>317</v>
      </c>
      <c r="B84" s="10" t="s">
        <v>318</v>
      </c>
      <c r="C84" s="10" t="s">
        <v>319</v>
      </c>
      <c r="D84" s="10"/>
      <c r="E84" s="10"/>
      <c r="F84" s="10"/>
      <c r="G84" s="10"/>
      <c r="H84" s="10">
        <v>1799</v>
      </c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F84" s="102"/>
      <c r="AG84" s="9" t="s">
        <v>317</v>
      </c>
      <c r="AH84" s="10" t="s">
        <v>318</v>
      </c>
      <c r="AI84" s="10" t="s">
        <v>319</v>
      </c>
      <c r="AJ84" s="10">
        <v>2469</v>
      </c>
      <c r="AK84" s="10">
        <v>1799</v>
      </c>
      <c r="AL84" s="10"/>
      <c r="AM84" s="10"/>
      <c r="AN84" s="46">
        <v>5589</v>
      </c>
      <c r="AO84" s="108"/>
      <c r="AP84" s="77">
        <f t="shared" si="9"/>
        <v>0</v>
      </c>
      <c r="AQ84" s="77">
        <f t="shared" si="9"/>
        <v>0</v>
      </c>
      <c r="AR84" s="77">
        <f t="shared" si="9"/>
        <v>0</v>
      </c>
      <c r="AS84" s="77">
        <f t="shared" si="8"/>
        <v>0</v>
      </c>
      <c r="AT84" s="77">
        <f t="shared" si="8"/>
        <v>0</v>
      </c>
      <c r="AU84" s="77">
        <f t="shared" si="8"/>
        <v>0</v>
      </c>
      <c r="AV84" s="79">
        <f t="shared" si="8"/>
        <v>0</v>
      </c>
    </row>
    <row r="85" spans="1:48" ht="14.5" x14ac:dyDescent="0.3">
      <c r="A85" s="9" t="s">
        <v>320</v>
      </c>
      <c r="B85" s="10" t="s">
        <v>321</v>
      </c>
      <c r="C85" s="10" t="s">
        <v>322</v>
      </c>
      <c r="D85" s="10"/>
      <c r="E85" s="10"/>
      <c r="F85" s="10"/>
      <c r="G85" s="10"/>
      <c r="H85" s="10">
        <v>1889</v>
      </c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F85" s="102"/>
      <c r="AG85" s="9" t="s">
        <v>320</v>
      </c>
      <c r="AH85" s="10" t="s">
        <v>321</v>
      </c>
      <c r="AI85" s="10" t="s">
        <v>322</v>
      </c>
      <c r="AJ85" s="10">
        <v>2478</v>
      </c>
      <c r="AK85" s="10">
        <v>1889</v>
      </c>
      <c r="AL85" s="10"/>
      <c r="AM85" s="10"/>
      <c r="AN85" s="46">
        <v>5667</v>
      </c>
      <c r="AO85" s="108"/>
      <c r="AP85" s="77">
        <f t="shared" si="9"/>
        <v>0</v>
      </c>
      <c r="AQ85" s="77">
        <f t="shared" si="9"/>
        <v>0</v>
      </c>
      <c r="AR85" s="77">
        <f t="shared" si="9"/>
        <v>0</v>
      </c>
      <c r="AS85" s="77">
        <f t="shared" si="8"/>
        <v>0</v>
      </c>
      <c r="AT85" s="77">
        <f t="shared" si="8"/>
        <v>0</v>
      </c>
      <c r="AU85" s="77">
        <f t="shared" si="8"/>
        <v>0</v>
      </c>
      <c r="AV85" s="79">
        <f t="shared" si="8"/>
        <v>0</v>
      </c>
    </row>
    <row r="86" spans="1:48" ht="14.5" x14ac:dyDescent="0.3">
      <c r="A86" s="9" t="s">
        <v>323</v>
      </c>
      <c r="B86" s="10" t="s">
        <v>324</v>
      </c>
      <c r="C86" s="10" t="s">
        <v>325</v>
      </c>
      <c r="D86" s="10"/>
      <c r="E86" s="10"/>
      <c r="F86" s="10"/>
      <c r="G86" s="10"/>
      <c r="H86" s="10">
        <v>1899</v>
      </c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F86" s="102"/>
      <c r="AG86" s="9" t="s">
        <v>323</v>
      </c>
      <c r="AH86" s="10" t="s">
        <v>324</v>
      </c>
      <c r="AI86" s="10" t="s">
        <v>325</v>
      </c>
      <c r="AJ86" s="10">
        <v>2479</v>
      </c>
      <c r="AK86" s="10">
        <v>1899</v>
      </c>
      <c r="AL86" s="10"/>
      <c r="AM86" s="10"/>
      <c r="AN86" s="46">
        <v>5668</v>
      </c>
      <c r="AO86" s="108"/>
      <c r="AP86" s="77">
        <f t="shared" si="9"/>
        <v>0</v>
      </c>
      <c r="AQ86" s="77">
        <f t="shared" si="9"/>
        <v>0</v>
      </c>
      <c r="AR86" s="77">
        <f t="shared" si="9"/>
        <v>0</v>
      </c>
      <c r="AS86" s="77">
        <f t="shared" si="8"/>
        <v>0</v>
      </c>
      <c r="AT86" s="77">
        <f t="shared" si="8"/>
        <v>0</v>
      </c>
      <c r="AU86" s="77">
        <f t="shared" si="8"/>
        <v>0</v>
      </c>
      <c r="AV86" s="79">
        <f t="shared" si="8"/>
        <v>0</v>
      </c>
    </row>
    <row r="87" spans="1:48" ht="14.5" x14ac:dyDescent="0.3">
      <c r="A87" s="9" t="s">
        <v>326</v>
      </c>
      <c r="B87" s="10" t="s">
        <v>327</v>
      </c>
      <c r="C87" s="10" t="s">
        <v>97</v>
      </c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F87" s="102"/>
      <c r="AG87" s="9" t="s">
        <v>326</v>
      </c>
      <c r="AH87" s="10" t="s">
        <v>327</v>
      </c>
      <c r="AI87" s="10" t="s">
        <v>97</v>
      </c>
      <c r="AJ87" s="10">
        <v>2489</v>
      </c>
      <c r="AK87" s="10"/>
      <c r="AL87" s="10"/>
      <c r="AM87" s="10"/>
      <c r="AN87" s="46">
        <v>5669</v>
      </c>
      <c r="AO87" s="108"/>
      <c r="AP87" s="77">
        <f t="shared" si="9"/>
        <v>0</v>
      </c>
      <c r="AQ87" s="77">
        <f t="shared" si="9"/>
        <v>1</v>
      </c>
      <c r="AR87" s="77">
        <f t="shared" si="9"/>
        <v>4</v>
      </c>
      <c r="AS87" s="77">
        <f t="shared" si="8"/>
        <v>0</v>
      </c>
      <c r="AT87" s="77">
        <f t="shared" si="8"/>
        <v>0</v>
      </c>
      <c r="AU87" s="77">
        <f t="shared" si="8"/>
        <v>0</v>
      </c>
      <c r="AV87" s="79">
        <f t="shared" si="8"/>
        <v>0</v>
      </c>
    </row>
    <row r="88" spans="1:48" ht="15" thickBot="1" x14ac:dyDescent="0.35">
      <c r="A88" s="9" t="s">
        <v>328</v>
      </c>
      <c r="B88" s="10" t="s">
        <v>329</v>
      </c>
      <c r="C88" s="10" t="s">
        <v>330</v>
      </c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F88" s="103"/>
      <c r="AG88" s="41" t="s">
        <v>328</v>
      </c>
      <c r="AH88" s="42" t="s">
        <v>329</v>
      </c>
      <c r="AI88" s="42" t="s">
        <v>330</v>
      </c>
      <c r="AJ88" s="42">
        <v>2567</v>
      </c>
      <c r="AK88" s="42"/>
      <c r="AL88" s="42"/>
      <c r="AM88" s="42"/>
      <c r="AN88" s="47">
        <v>5677</v>
      </c>
      <c r="AO88" s="109"/>
      <c r="AP88" s="80">
        <f t="shared" si="9"/>
        <v>0</v>
      </c>
      <c r="AQ88" s="80">
        <f t="shared" si="9"/>
        <v>0</v>
      </c>
      <c r="AR88" s="80">
        <f t="shared" si="9"/>
        <v>0</v>
      </c>
      <c r="AS88" s="80">
        <f t="shared" si="8"/>
        <v>0</v>
      </c>
      <c r="AT88" s="80">
        <f t="shared" si="8"/>
        <v>0</v>
      </c>
      <c r="AU88" s="80">
        <f t="shared" si="8"/>
        <v>0</v>
      </c>
      <c r="AV88" s="81">
        <f t="shared" si="8"/>
        <v>0</v>
      </c>
    </row>
    <row r="89" spans="1:48" ht="14.5" x14ac:dyDescent="0.3">
      <c r="A89" s="9" t="s">
        <v>331</v>
      </c>
      <c r="B89" s="10"/>
      <c r="C89" s="10" t="s">
        <v>332</v>
      </c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F89" s="101" t="s">
        <v>441</v>
      </c>
      <c r="AG89" s="39" t="s">
        <v>331</v>
      </c>
      <c r="AH89" s="40"/>
      <c r="AI89" s="40" t="s">
        <v>332</v>
      </c>
      <c r="AJ89" s="40">
        <v>2568</v>
      </c>
      <c r="AK89" s="40"/>
      <c r="AL89" s="40"/>
      <c r="AM89" s="40"/>
      <c r="AN89" s="48">
        <v>5688</v>
      </c>
      <c r="AO89" s="107">
        <f t="shared" ref="AO89" si="12">SUM(AP89:AV100)</f>
        <v>9</v>
      </c>
      <c r="AP89" s="75">
        <f t="shared" si="9"/>
        <v>0</v>
      </c>
      <c r="AQ89" s="75">
        <f t="shared" si="9"/>
        <v>0</v>
      </c>
      <c r="AR89" s="75">
        <f t="shared" si="9"/>
        <v>1</v>
      </c>
      <c r="AS89" s="75">
        <f t="shared" si="8"/>
        <v>0</v>
      </c>
      <c r="AT89" s="75">
        <f t="shared" si="8"/>
        <v>0</v>
      </c>
      <c r="AU89" s="75">
        <f t="shared" si="8"/>
        <v>0</v>
      </c>
      <c r="AV89" s="76">
        <f t="shared" si="8"/>
        <v>0</v>
      </c>
    </row>
    <row r="90" spans="1:48" ht="14.5" x14ac:dyDescent="0.3">
      <c r="A90" s="9" t="s">
        <v>333</v>
      </c>
      <c r="B90" s="10"/>
      <c r="C90" s="10" t="s">
        <v>334</v>
      </c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F90" s="102"/>
      <c r="AG90" s="9" t="s">
        <v>333</v>
      </c>
      <c r="AH90" s="10"/>
      <c r="AI90" s="10" t="s">
        <v>334</v>
      </c>
      <c r="AJ90" s="10">
        <v>2569</v>
      </c>
      <c r="AK90" s="10"/>
      <c r="AL90" s="10"/>
      <c r="AM90" s="10"/>
      <c r="AN90" s="46">
        <v>5699</v>
      </c>
      <c r="AO90" s="108"/>
      <c r="AP90" s="77">
        <f t="shared" si="9"/>
        <v>0</v>
      </c>
      <c r="AQ90" s="77">
        <f t="shared" si="9"/>
        <v>0</v>
      </c>
      <c r="AR90" s="77">
        <f t="shared" si="9"/>
        <v>0</v>
      </c>
      <c r="AS90" s="77">
        <f t="shared" si="8"/>
        <v>0</v>
      </c>
      <c r="AT90" s="77">
        <f t="shared" si="8"/>
        <v>0</v>
      </c>
      <c r="AU90" s="77">
        <f t="shared" si="8"/>
        <v>0</v>
      </c>
      <c r="AV90" s="79">
        <f t="shared" si="8"/>
        <v>3</v>
      </c>
    </row>
    <row r="91" spans="1:48" ht="14.5" x14ac:dyDescent="0.3">
      <c r="A91" s="9" t="s">
        <v>335</v>
      </c>
      <c r="B91" s="10"/>
      <c r="C91" s="10" t="s">
        <v>336</v>
      </c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F91" s="102"/>
      <c r="AG91" s="9" t="s">
        <v>335</v>
      </c>
      <c r="AH91" s="10"/>
      <c r="AI91" s="10" t="s">
        <v>336</v>
      </c>
      <c r="AJ91" s="10">
        <v>2578</v>
      </c>
      <c r="AK91" s="10"/>
      <c r="AL91" s="10"/>
      <c r="AM91" s="10"/>
      <c r="AN91" s="46">
        <v>5778</v>
      </c>
      <c r="AO91" s="108"/>
      <c r="AP91" s="77">
        <f t="shared" si="9"/>
        <v>0</v>
      </c>
      <c r="AQ91" s="77">
        <f t="shared" si="9"/>
        <v>0</v>
      </c>
      <c r="AR91" s="77">
        <f t="shared" si="9"/>
        <v>0</v>
      </c>
      <c r="AS91" s="77">
        <f t="shared" si="8"/>
        <v>0</v>
      </c>
      <c r="AT91" s="77">
        <f t="shared" si="8"/>
        <v>0</v>
      </c>
      <c r="AU91" s="77">
        <f t="shared" si="8"/>
        <v>0</v>
      </c>
      <c r="AV91" s="79">
        <f t="shared" si="8"/>
        <v>0</v>
      </c>
    </row>
    <row r="92" spans="1:48" ht="14.5" x14ac:dyDescent="0.3">
      <c r="A92" s="9" t="s">
        <v>337</v>
      </c>
      <c r="B92" s="10"/>
      <c r="C92" s="10" t="s">
        <v>338</v>
      </c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F92" s="102"/>
      <c r="AG92" s="9" t="s">
        <v>337</v>
      </c>
      <c r="AH92" s="10"/>
      <c r="AI92" s="10" t="s">
        <v>338</v>
      </c>
      <c r="AJ92" s="10">
        <v>2579</v>
      </c>
      <c r="AK92" s="10"/>
      <c r="AL92" s="10"/>
      <c r="AM92" s="10"/>
      <c r="AN92" s="46">
        <v>5779</v>
      </c>
      <c r="AO92" s="108"/>
      <c r="AP92" s="77">
        <f t="shared" si="9"/>
        <v>0</v>
      </c>
      <c r="AQ92" s="77">
        <f t="shared" si="9"/>
        <v>0</v>
      </c>
      <c r="AR92" s="77">
        <f t="shared" si="9"/>
        <v>0</v>
      </c>
      <c r="AS92" s="77">
        <f t="shared" si="8"/>
        <v>0</v>
      </c>
      <c r="AT92" s="77">
        <f t="shared" si="8"/>
        <v>0</v>
      </c>
      <c r="AU92" s="77">
        <f t="shared" si="8"/>
        <v>0</v>
      </c>
      <c r="AV92" s="79">
        <f t="shared" si="8"/>
        <v>0</v>
      </c>
    </row>
    <row r="93" spans="1:48" ht="14.5" x14ac:dyDescent="0.3">
      <c r="A93" s="9" t="s">
        <v>339</v>
      </c>
      <c r="B93" s="10"/>
      <c r="C93" s="10" t="s">
        <v>340</v>
      </c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F93" s="102"/>
      <c r="AG93" s="9" t="s">
        <v>339</v>
      </c>
      <c r="AH93" s="10"/>
      <c r="AI93" s="10" t="s">
        <v>340</v>
      </c>
      <c r="AJ93" s="10">
        <v>2589</v>
      </c>
      <c r="AK93" s="10"/>
      <c r="AL93" s="10"/>
      <c r="AM93" s="10"/>
      <c r="AN93" s="46">
        <v>5788</v>
      </c>
      <c r="AO93" s="108"/>
      <c r="AP93" s="77">
        <f t="shared" si="9"/>
        <v>0</v>
      </c>
      <c r="AQ93" s="77">
        <f t="shared" si="9"/>
        <v>0</v>
      </c>
      <c r="AR93" s="77">
        <f t="shared" si="9"/>
        <v>0</v>
      </c>
      <c r="AS93" s="77">
        <f t="shared" si="8"/>
        <v>0</v>
      </c>
      <c r="AT93" s="77">
        <f t="shared" si="8"/>
        <v>0</v>
      </c>
      <c r="AU93" s="77">
        <f t="shared" si="8"/>
        <v>0</v>
      </c>
      <c r="AV93" s="79">
        <f t="shared" si="8"/>
        <v>0</v>
      </c>
    </row>
    <row r="94" spans="1:48" ht="14.5" x14ac:dyDescent="0.3">
      <c r="A94" s="9" t="s">
        <v>341</v>
      </c>
      <c r="B94" s="10"/>
      <c r="C94" s="10" t="s">
        <v>342</v>
      </c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F94" s="102"/>
      <c r="AG94" s="9" t="s">
        <v>341</v>
      </c>
      <c r="AH94" s="10"/>
      <c r="AI94" s="10" t="s">
        <v>342</v>
      </c>
      <c r="AJ94" s="10">
        <v>2678</v>
      </c>
      <c r="AK94" s="10"/>
      <c r="AL94" s="10"/>
      <c r="AM94" s="10"/>
      <c r="AN94" s="46">
        <v>5799</v>
      </c>
      <c r="AO94" s="108"/>
      <c r="AP94" s="77">
        <f t="shared" si="9"/>
        <v>0</v>
      </c>
      <c r="AQ94" s="77">
        <f t="shared" si="9"/>
        <v>1</v>
      </c>
      <c r="AR94" s="77">
        <f t="shared" si="9"/>
        <v>1</v>
      </c>
      <c r="AS94" s="77">
        <f t="shared" si="8"/>
        <v>0</v>
      </c>
      <c r="AT94" s="77">
        <f t="shared" si="8"/>
        <v>0</v>
      </c>
      <c r="AU94" s="77">
        <f t="shared" si="8"/>
        <v>0</v>
      </c>
      <c r="AV94" s="79">
        <f t="shared" si="8"/>
        <v>0</v>
      </c>
    </row>
    <row r="95" spans="1:48" ht="14.5" x14ac:dyDescent="0.3">
      <c r="A95" s="9" t="s">
        <v>343</v>
      </c>
      <c r="B95" s="10"/>
      <c r="C95" s="10" t="s">
        <v>344</v>
      </c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F95" s="102"/>
      <c r="AG95" s="9" t="s">
        <v>343</v>
      </c>
      <c r="AH95" s="10"/>
      <c r="AI95" s="10" t="s">
        <v>344</v>
      </c>
      <c r="AJ95" s="10">
        <v>2679</v>
      </c>
      <c r="AK95" s="10"/>
      <c r="AL95" s="10"/>
      <c r="AM95" s="10"/>
      <c r="AN95" s="46">
        <v>5889</v>
      </c>
      <c r="AO95" s="108"/>
      <c r="AP95" s="77">
        <f t="shared" si="9"/>
        <v>0</v>
      </c>
      <c r="AQ95" s="77">
        <f t="shared" si="9"/>
        <v>0</v>
      </c>
      <c r="AR95" s="77">
        <f t="shared" si="9"/>
        <v>0</v>
      </c>
      <c r="AS95" s="77">
        <f t="shared" si="8"/>
        <v>0</v>
      </c>
      <c r="AT95" s="77">
        <f t="shared" si="8"/>
        <v>0</v>
      </c>
      <c r="AU95" s="77">
        <f t="shared" si="8"/>
        <v>0</v>
      </c>
      <c r="AV95" s="79">
        <f t="shared" si="8"/>
        <v>0</v>
      </c>
    </row>
    <row r="96" spans="1:48" ht="14.5" x14ac:dyDescent="0.3">
      <c r="A96" s="9" t="s">
        <v>345</v>
      </c>
      <c r="B96" s="10"/>
      <c r="C96" s="10" t="s">
        <v>346</v>
      </c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F96" s="102"/>
      <c r="AG96" s="9" t="s">
        <v>345</v>
      </c>
      <c r="AH96" s="10"/>
      <c r="AI96" s="10" t="s">
        <v>346</v>
      </c>
      <c r="AJ96" s="10">
        <v>2689</v>
      </c>
      <c r="AK96" s="10"/>
      <c r="AL96" s="10"/>
      <c r="AM96" s="10"/>
      <c r="AN96" s="46">
        <v>5899</v>
      </c>
      <c r="AO96" s="108"/>
      <c r="AP96" s="77">
        <f t="shared" si="9"/>
        <v>0</v>
      </c>
      <c r="AQ96" s="77">
        <f t="shared" si="9"/>
        <v>0</v>
      </c>
      <c r="AR96" s="77">
        <f t="shared" si="9"/>
        <v>0</v>
      </c>
      <c r="AS96" s="77">
        <f t="shared" si="8"/>
        <v>0</v>
      </c>
      <c r="AT96" s="77">
        <f t="shared" si="8"/>
        <v>0</v>
      </c>
      <c r="AU96" s="77">
        <f t="shared" si="8"/>
        <v>0</v>
      </c>
      <c r="AV96" s="79">
        <f t="shared" si="8"/>
        <v>0</v>
      </c>
    </row>
    <row r="97" spans="1:48" ht="14.5" x14ac:dyDescent="0.3">
      <c r="A97" s="9" t="s">
        <v>347</v>
      </c>
      <c r="B97" s="10"/>
      <c r="C97" s="10" t="s">
        <v>348</v>
      </c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F97" s="102"/>
      <c r="AG97" s="9" t="s">
        <v>347</v>
      </c>
      <c r="AH97" s="10"/>
      <c r="AI97" s="10" t="s">
        <v>348</v>
      </c>
      <c r="AJ97" s="10">
        <v>2789</v>
      </c>
      <c r="AK97" s="10"/>
      <c r="AL97" s="10"/>
      <c r="AM97" s="10"/>
      <c r="AN97" s="46">
        <v>6678</v>
      </c>
      <c r="AO97" s="108"/>
      <c r="AP97" s="77">
        <f t="shared" si="9"/>
        <v>0</v>
      </c>
      <c r="AQ97" s="77">
        <f t="shared" si="9"/>
        <v>0</v>
      </c>
      <c r="AR97" s="77">
        <f t="shared" si="9"/>
        <v>0</v>
      </c>
      <c r="AS97" s="77">
        <f t="shared" si="8"/>
        <v>0</v>
      </c>
      <c r="AT97" s="77">
        <f t="shared" si="8"/>
        <v>0</v>
      </c>
      <c r="AU97" s="77">
        <f t="shared" si="8"/>
        <v>0</v>
      </c>
      <c r="AV97" s="79">
        <f t="shared" si="8"/>
        <v>2</v>
      </c>
    </row>
    <row r="98" spans="1:48" ht="14.5" x14ac:dyDescent="0.3">
      <c r="A98" s="9" t="s">
        <v>349</v>
      </c>
      <c r="B98" s="10"/>
      <c r="C98" s="10" t="s">
        <v>350</v>
      </c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F98" s="102"/>
      <c r="AG98" s="9" t="s">
        <v>349</v>
      </c>
      <c r="AH98" s="10"/>
      <c r="AI98" s="10" t="s">
        <v>350</v>
      </c>
      <c r="AJ98" s="10"/>
      <c r="AK98" s="10"/>
      <c r="AL98" s="10"/>
      <c r="AM98" s="10"/>
      <c r="AN98" s="46">
        <v>6679</v>
      </c>
      <c r="AO98" s="108"/>
      <c r="AP98" s="77">
        <f t="shared" si="9"/>
        <v>0</v>
      </c>
      <c r="AQ98" s="77">
        <f t="shared" si="9"/>
        <v>0</v>
      </c>
      <c r="AR98" s="77">
        <f t="shared" si="9"/>
        <v>0</v>
      </c>
      <c r="AS98" s="77">
        <f t="shared" si="8"/>
        <v>0</v>
      </c>
      <c r="AT98" s="77">
        <f t="shared" si="8"/>
        <v>0</v>
      </c>
      <c r="AU98" s="77">
        <f t="shared" si="8"/>
        <v>0</v>
      </c>
      <c r="AV98" s="79">
        <f t="shared" si="8"/>
        <v>0</v>
      </c>
    </row>
    <row r="99" spans="1:48" ht="14.5" x14ac:dyDescent="0.3">
      <c r="A99" s="9" t="s">
        <v>351</v>
      </c>
      <c r="B99" s="10"/>
      <c r="C99" s="10" t="s">
        <v>352</v>
      </c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F99" s="102"/>
      <c r="AG99" s="9" t="s">
        <v>351</v>
      </c>
      <c r="AH99" s="10"/>
      <c r="AI99" s="10" t="s">
        <v>352</v>
      </c>
      <c r="AJ99" s="10"/>
      <c r="AK99" s="10"/>
      <c r="AL99" s="10"/>
      <c r="AM99" s="10"/>
      <c r="AN99" s="46">
        <v>6689</v>
      </c>
      <c r="AO99" s="108"/>
      <c r="AP99" s="77">
        <f t="shared" si="9"/>
        <v>0</v>
      </c>
      <c r="AQ99" s="77">
        <f t="shared" si="9"/>
        <v>1</v>
      </c>
      <c r="AR99" s="77">
        <f t="shared" si="9"/>
        <v>0</v>
      </c>
      <c r="AS99" s="77">
        <f t="shared" si="8"/>
        <v>0</v>
      </c>
      <c r="AT99" s="77">
        <f t="shared" si="8"/>
        <v>0</v>
      </c>
      <c r="AU99" s="77">
        <f t="shared" si="8"/>
        <v>0</v>
      </c>
      <c r="AV99" s="79">
        <f t="shared" si="8"/>
        <v>0</v>
      </c>
    </row>
    <row r="100" spans="1:48" ht="15" thickBot="1" x14ac:dyDescent="0.35">
      <c r="A100" s="9" t="s">
        <v>353</v>
      </c>
      <c r="B100" s="10"/>
      <c r="C100" s="10" t="s">
        <v>354</v>
      </c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F100" s="103"/>
      <c r="AG100" s="41" t="s">
        <v>353</v>
      </c>
      <c r="AH100" s="42"/>
      <c r="AI100" s="42" t="s">
        <v>354</v>
      </c>
      <c r="AJ100" s="42"/>
      <c r="AK100" s="42"/>
      <c r="AL100" s="42"/>
      <c r="AM100" s="42"/>
      <c r="AN100" s="47">
        <v>6778</v>
      </c>
      <c r="AO100" s="109"/>
      <c r="AP100" s="80">
        <f t="shared" si="9"/>
        <v>0</v>
      </c>
      <c r="AQ100" s="80">
        <f t="shared" si="9"/>
        <v>0</v>
      </c>
      <c r="AR100" s="80">
        <f t="shared" si="9"/>
        <v>0</v>
      </c>
      <c r="AS100" s="80">
        <f t="shared" si="8"/>
        <v>0</v>
      </c>
      <c r="AT100" s="80">
        <f t="shared" si="8"/>
        <v>0</v>
      </c>
      <c r="AU100" s="80">
        <f t="shared" si="8"/>
        <v>0</v>
      </c>
      <c r="AV100" s="81">
        <f t="shared" si="8"/>
        <v>0</v>
      </c>
    </row>
    <row r="101" spans="1:48" ht="14.5" x14ac:dyDescent="0.3">
      <c r="A101" s="9" t="s">
        <v>355</v>
      </c>
      <c r="B101" s="10"/>
      <c r="C101" s="10" t="s">
        <v>356</v>
      </c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F101" s="101" t="s">
        <v>442</v>
      </c>
      <c r="AG101" s="39" t="s">
        <v>355</v>
      </c>
      <c r="AH101" s="40"/>
      <c r="AI101" s="40" t="s">
        <v>356</v>
      </c>
      <c r="AJ101" s="40"/>
      <c r="AK101" s="40"/>
      <c r="AL101" s="40"/>
      <c r="AM101" s="40"/>
      <c r="AN101" s="48">
        <v>6779</v>
      </c>
      <c r="AO101" s="107">
        <f t="shared" ref="AO101" si="13">SUM(AP101:AV112)</f>
        <v>1</v>
      </c>
      <c r="AP101" s="75">
        <f t="shared" si="9"/>
        <v>0</v>
      </c>
      <c r="AQ101" s="75">
        <f t="shared" si="9"/>
        <v>0</v>
      </c>
      <c r="AR101" s="75">
        <f t="shared" si="9"/>
        <v>0</v>
      </c>
      <c r="AS101" s="75">
        <f t="shared" si="8"/>
        <v>0</v>
      </c>
      <c r="AT101" s="75">
        <f t="shared" si="8"/>
        <v>0</v>
      </c>
      <c r="AU101" s="75">
        <f t="shared" si="8"/>
        <v>0</v>
      </c>
      <c r="AV101" s="76">
        <f t="shared" si="8"/>
        <v>0</v>
      </c>
    </row>
    <row r="102" spans="1:48" ht="14.5" x14ac:dyDescent="0.3">
      <c r="A102" s="9" t="s">
        <v>357</v>
      </c>
      <c r="B102" s="10"/>
      <c r="C102" s="10" t="s">
        <v>358</v>
      </c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F102" s="102"/>
      <c r="AG102" s="9" t="s">
        <v>357</v>
      </c>
      <c r="AH102" s="10"/>
      <c r="AI102" s="10" t="s">
        <v>358</v>
      </c>
      <c r="AJ102" s="10"/>
      <c r="AK102" s="10"/>
      <c r="AL102" s="10"/>
      <c r="AM102" s="10"/>
      <c r="AN102" s="46">
        <v>6788</v>
      </c>
      <c r="AO102" s="108"/>
      <c r="AP102" s="77">
        <f t="shared" si="9"/>
        <v>0</v>
      </c>
      <c r="AQ102" s="77">
        <f t="shared" si="9"/>
        <v>0</v>
      </c>
      <c r="AR102" s="77">
        <f t="shared" si="9"/>
        <v>0</v>
      </c>
      <c r="AS102" s="77">
        <f t="shared" si="8"/>
        <v>0</v>
      </c>
      <c r="AT102" s="77">
        <f t="shared" si="8"/>
        <v>0</v>
      </c>
      <c r="AU102" s="77">
        <f t="shared" si="8"/>
        <v>0</v>
      </c>
      <c r="AV102" s="79">
        <f t="shared" si="8"/>
        <v>0</v>
      </c>
    </row>
    <row r="103" spans="1:48" ht="14.5" x14ac:dyDescent="0.3">
      <c r="A103" s="9" t="s">
        <v>359</v>
      </c>
      <c r="B103" s="10"/>
      <c r="C103" s="10" t="s">
        <v>360</v>
      </c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F103" s="102"/>
      <c r="AG103" s="9" t="s">
        <v>359</v>
      </c>
      <c r="AH103" s="10"/>
      <c r="AI103" s="10" t="s">
        <v>360</v>
      </c>
      <c r="AJ103" s="10"/>
      <c r="AK103" s="10"/>
      <c r="AL103" s="10"/>
      <c r="AM103" s="10"/>
      <c r="AN103" s="46">
        <v>6799</v>
      </c>
      <c r="AO103" s="108"/>
      <c r="AP103" s="77">
        <f t="shared" si="9"/>
        <v>0</v>
      </c>
      <c r="AQ103" s="77">
        <f t="shared" si="9"/>
        <v>0</v>
      </c>
      <c r="AR103" s="77">
        <f t="shared" si="9"/>
        <v>0</v>
      </c>
      <c r="AS103" s="77">
        <f t="shared" si="8"/>
        <v>0</v>
      </c>
      <c r="AT103" s="77">
        <f t="shared" si="8"/>
        <v>0</v>
      </c>
      <c r="AU103" s="77">
        <f t="shared" si="8"/>
        <v>0</v>
      </c>
      <c r="AV103" s="79">
        <f t="shared" si="8"/>
        <v>0</v>
      </c>
    </row>
    <row r="104" spans="1:48" ht="14.5" x14ac:dyDescent="0.3">
      <c r="A104" s="9" t="s">
        <v>361</v>
      </c>
      <c r="B104" s="10"/>
      <c r="C104" s="10" t="s">
        <v>362</v>
      </c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F104" s="102"/>
      <c r="AG104" s="9" t="s">
        <v>361</v>
      </c>
      <c r="AH104" s="10"/>
      <c r="AI104" s="10" t="s">
        <v>362</v>
      </c>
      <c r="AJ104" s="10"/>
      <c r="AK104" s="10"/>
      <c r="AL104" s="10"/>
      <c r="AM104" s="10"/>
      <c r="AN104" s="46">
        <v>6889</v>
      </c>
      <c r="AO104" s="108"/>
      <c r="AP104" s="77">
        <f t="shared" si="9"/>
        <v>0</v>
      </c>
      <c r="AQ104" s="77">
        <f t="shared" si="9"/>
        <v>0</v>
      </c>
      <c r="AR104" s="77">
        <f t="shared" si="9"/>
        <v>0</v>
      </c>
      <c r="AS104" s="77">
        <f t="shared" si="8"/>
        <v>0</v>
      </c>
      <c r="AT104" s="77">
        <f t="shared" si="8"/>
        <v>0</v>
      </c>
      <c r="AU104" s="77">
        <f t="shared" si="8"/>
        <v>0</v>
      </c>
      <c r="AV104" s="79">
        <f t="shared" si="8"/>
        <v>0</v>
      </c>
    </row>
    <row r="105" spans="1:48" ht="14.5" x14ac:dyDescent="0.3">
      <c r="A105" s="9" t="s">
        <v>363</v>
      </c>
      <c r="B105" s="10"/>
      <c r="C105" s="10" t="s">
        <v>364</v>
      </c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F105" s="102"/>
      <c r="AG105" s="9" t="s">
        <v>363</v>
      </c>
      <c r="AH105" s="10"/>
      <c r="AI105" s="10" t="s">
        <v>364</v>
      </c>
      <c r="AJ105" s="10"/>
      <c r="AK105" s="10"/>
      <c r="AL105" s="10"/>
      <c r="AM105" s="10"/>
      <c r="AN105" s="46">
        <v>6899</v>
      </c>
      <c r="AO105" s="108"/>
      <c r="AP105" s="77">
        <f t="shared" si="9"/>
        <v>0</v>
      </c>
      <c r="AQ105" s="77">
        <f t="shared" si="9"/>
        <v>0</v>
      </c>
      <c r="AR105" s="77">
        <f t="shared" si="9"/>
        <v>0</v>
      </c>
      <c r="AS105" s="77">
        <f t="shared" si="8"/>
        <v>0</v>
      </c>
      <c r="AT105" s="77">
        <f t="shared" si="8"/>
        <v>0</v>
      </c>
      <c r="AU105" s="77">
        <f t="shared" si="8"/>
        <v>0</v>
      </c>
      <c r="AV105" s="79">
        <f t="shared" si="8"/>
        <v>0</v>
      </c>
    </row>
    <row r="106" spans="1:48" ht="14.5" x14ac:dyDescent="0.3">
      <c r="A106" s="9" t="s">
        <v>365</v>
      </c>
      <c r="B106" s="10"/>
      <c r="C106" s="10" t="s">
        <v>366</v>
      </c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F106" s="102"/>
      <c r="AG106" s="9" t="s">
        <v>365</v>
      </c>
      <c r="AH106" s="10"/>
      <c r="AI106" s="10" t="s">
        <v>366</v>
      </c>
      <c r="AJ106" s="10"/>
      <c r="AK106" s="10"/>
      <c r="AL106" s="10"/>
      <c r="AM106" s="10"/>
      <c r="AN106" s="46">
        <v>7789</v>
      </c>
      <c r="AO106" s="108"/>
      <c r="AP106" s="77">
        <f t="shared" si="9"/>
        <v>0</v>
      </c>
      <c r="AQ106" s="77">
        <f t="shared" si="9"/>
        <v>0</v>
      </c>
      <c r="AR106" s="77">
        <f t="shared" si="9"/>
        <v>0</v>
      </c>
      <c r="AS106" s="77">
        <f t="shared" si="8"/>
        <v>0</v>
      </c>
      <c r="AT106" s="77">
        <f t="shared" si="8"/>
        <v>0</v>
      </c>
      <c r="AU106" s="77">
        <f t="shared" si="8"/>
        <v>0</v>
      </c>
      <c r="AV106" s="79">
        <f t="shared" si="8"/>
        <v>0</v>
      </c>
    </row>
    <row r="107" spans="1:48" ht="14.5" x14ac:dyDescent="0.3">
      <c r="A107" s="9" t="s">
        <v>367</v>
      </c>
      <c r="B107" s="10"/>
      <c r="C107" s="10" t="s">
        <v>368</v>
      </c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F107" s="102"/>
      <c r="AG107" s="9" t="s">
        <v>367</v>
      </c>
      <c r="AH107" s="10"/>
      <c r="AI107" s="10" t="s">
        <v>368</v>
      </c>
      <c r="AJ107" s="10"/>
      <c r="AK107" s="10"/>
      <c r="AL107" s="10"/>
      <c r="AM107" s="10"/>
      <c r="AN107" s="46">
        <v>7889</v>
      </c>
      <c r="AO107" s="108"/>
      <c r="AP107" s="77">
        <f t="shared" si="9"/>
        <v>0</v>
      </c>
      <c r="AQ107" s="77">
        <f t="shared" si="9"/>
        <v>0</v>
      </c>
      <c r="AR107" s="77">
        <f t="shared" si="9"/>
        <v>0</v>
      </c>
      <c r="AS107" s="77">
        <f t="shared" si="8"/>
        <v>0</v>
      </c>
      <c r="AT107" s="77">
        <f t="shared" si="8"/>
        <v>0</v>
      </c>
      <c r="AU107" s="77">
        <f t="shared" si="8"/>
        <v>0</v>
      </c>
      <c r="AV107" s="79">
        <f t="shared" si="8"/>
        <v>0</v>
      </c>
    </row>
    <row r="108" spans="1:48" ht="14.5" x14ac:dyDescent="0.3">
      <c r="A108" s="9" t="s">
        <v>369</v>
      </c>
      <c r="B108" s="10"/>
      <c r="C108" s="10" t="s">
        <v>370</v>
      </c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F108" s="102"/>
      <c r="AG108" s="9" t="s">
        <v>369</v>
      </c>
      <c r="AH108" s="10"/>
      <c r="AI108" s="10" t="s">
        <v>370</v>
      </c>
      <c r="AJ108" s="10"/>
      <c r="AK108" s="10"/>
      <c r="AL108" s="10"/>
      <c r="AM108" s="10"/>
      <c r="AN108" s="46">
        <v>7899</v>
      </c>
      <c r="AO108" s="108"/>
      <c r="AP108" s="77">
        <f t="shared" si="9"/>
        <v>0</v>
      </c>
      <c r="AQ108" s="77">
        <f t="shared" si="9"/>
        <v>0</v>
      </c>
      <c r="AR108" s="77">
        <f t="shared" si="9"/>
        <v>0</v>
      </c>
      <c r="AS108" s="77">
        <f t="shared" si="8"/>
        <v>0</v>
      </c>
      <c r="AT108" s="77">
        <f t="shared" si="8"/>
        <v>0</v>
      </c>
      <c r="AU108" s="77">
        <f t="shared" si="8"/>
        <v>0</v>
      </c>
      <c r="AV108" s="79">
        <f t="shared" si="8"/>
        <v>1</v>
      </c>
    </row>
    <row r="109" spans="1:48" ht="14.5" x14ac:dyDescent="0.3">
      <c r="A109" s="9" t="s">
        <v>371</v>
      </c>
      <c r="B109" s="10"/>
      <c r="C109" s="10" t="s">
        <v>372</v>
      </c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F109" s="102"/>
      <c r="AG109" s="9" t="s">
        <v>371</v>
      </c>
      <c r="AH109" s="10"/>
      <c r="AI109" s="10" t="s">
        <v>372</v>
      </c>
      <c r="AJ109" s="10"/>
      <c r="AK109" s="10"/>
      <c r="AL109" s="10"/>
      <c r="AM109" s="10"/>
      <c r="AN109" s="46"/>
      <c r="AO109" s="108"/>
      <c r="AP109" s="77">
        <f t="shared" si="9"/>
        <v>0</v>
      </c>
      <c r="AQ109" s="77">
        <f t="shared" si="9"/>
        <v>0</v>
      </c>
      <c r="AR109" s="77">
        <f t="shared" si="9"/>
        <v>0</v>
      </c>
      <c r="AS109" s="77">
        <f t="shared" si="8"/>
        <v>0</v>
      </c>
      <c r="AT109" s="77">
        <f t="shared" si="8"/>
        <v>0</v>
      </c>
      <c r="AU109" s="77">
        <f t="shared" si="8"/>
        <v>0</v>
      </c>
      <c r="AV109" s="79">
        <f t="shared" si="8"/>
        <v>0</v>
      </c>
    </row>
    <row r="110" spans="1:48" ht="14.5" x14ac:dyDescent="0.3">
      <c r="A110" s="9" t="s">
        <v>373</v>
      </c>
      <c r="B110" s="10"/>
      <c r="C110" s="10" t="s">
        <v>374</v>
      </c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F110" s="102"/>
      <c r="AG110" s="9" t="s">
        <v>373</v>
      </c>
      <c r="AH110" s="10"/>
      <c r="AI110" s="10" t="s">
        <v>374</v>
      </c>
      <c r="AJ110" s="10"/>
      <c r="AK110" s="10"/>
      <c r="AL110" s="10"/>
      <c r="AM110" s="10"/>
      <c r="AN110" s="46"/>
      <c r="AO110" s="108"/>
      <c r="AP110" s="77">
        <f t="shared" si="9"/>
        <v>0</v>
      </c>
      <c r="AQ110" s="77">
        <f t="shared" si="9"/>
        <v>0</v>
      </c>
      <c r="AR110" s="77">
        <f t="shared" si="9"/>
        <v>0</v>
      </c>
      <c r="AS110" s="77">
        <f t="shared" si="8"/>
        <v>0</v>
      </c>
      <c r="AT110" s="77">
        <f t="shared" si="8"/>
        <v>0</v>
      </c>
      <c r="AU110" s="77">
        <f t="shared" si="8"/>
        <v>0</v>
      </c>
      <c r="AV110" s="79">
        <f t="shared" si="8"/>
        <v>0</v>
      </c>
    </row>
    <row r="111" spans="1:48" ht="14.5" x14ac:dyDescent="0.3">
      <c r="A111" s="9" t="s">
        <v>375</v>
      </c>
      <c r="B111" s="10"/>
      <c r="C111" s="10" t="s">
        <v>376</v>
      </c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F111" s="102"/>
      <c r="AG111" s="9" t="s">
        <v>375</v>
      </c>
      <c r="AH111" s="10"/>
      <c r="AI111" s="10" t="s">
        <v>376</v>
      </c>
      <c r="AJ111" s="10"/>
      <c r="AK111" s="10"/>
      <c r="AL111" s="10"/>
      <c r="AM111" s="10"/>
      <c r="AN111" s="46"/>
      <c r="AO111" s="108"/>
      <c r="AP111" s="77">
        <f t="shared" si="9"/>
        <v>0</v>
      </c>
      <c r="AQ111" s="77">
        <f t="shared" si="9"/>
        <v>0</v>
      </c>
      <c r="AR111" s="77">
        <f t="shared" si="9"/>
        <v>0</v>
      </c>
      <c r="AS111" s="77">
        <f t="shared" si="8"/>
        <v>0</v>
      </c>
      <c r="AT111" s="77">
        <f t="shared" si="8"/>
        <v>0</v>
      </c>
      <c r="AU111" s="77">
        <f t="shared" si="8"/>
        <v>0</v>
      </c>
      <c r="AV111" s="79">
        <f t="shared" si="8"/>
        <v>0</v>
      </c>
    </row>
    <row r="112" spans="1:48" ht="15" thickBot="1" x14ac:dyDescent="0.35">
      <c r="A112" s="9" t="s">
        <v>377</v>
      </c>
      <c r="B112" s="10"/>
      <c r="C112" s="10" t="s">
        <v>378</v>
      </c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F112" s="103"/>
      <c r="AG112" s="41" t="s">
        <v>377</v>
      </c>
      <c r="AH112" s="42"/>
      <c r="AI112" s="42" t="s">
        <v>378</v>
      </c>
      <c r="AJ112" s="42"/>
      <c r="AK112" s="42"/>
      <c r="AL112" s="42"/>
      <c r="AM112" s="42"/>
      <c r="AN112" s="47"/>
      <c r="AO112" s="109"/>
      <c r="AP112" s="80">
        <f t="shared" si="9"/>
        <v>0</v>
      </c>
      <c r="AQ112" s="80">
        <f t="shared" si="9"/>
        <v>0</v>
      </c>
      <c r="AR112" s="80">
        <f t="shared" si="9"/>
        <v>0</v>
      </c>
      <c r="AS112" s="80">
        <f t="shared" si="8"/>
        <v>0</v>
      </c>
      <c r="AT112" s="80">
        <f t="shared" si="8"/>
        <v>0</v>
      </c>
      <c r="AU112" s="80">
        <f t="shared" si="8"/>
        <v>0</v>
      </c>
      <c r="AV112" s="81">
        <f t="shared" si="8"/>
        <v>0</v>
      </c>
    </row>
  </sheetData>
  <mergeCells count="24">
    <mergeCell ref="B2:AD2"/>
    <mergeCell ref="AH2:AN2"/>
    <mergeCell ref="AX6:AX8"/>
    <mergeCell ref="AX9:AX18"/>
    <mergeCell ref="AF5:AF16"/>
    <mergeCell ref="AF17:AF28"/>
    <mergeCell ref="AX19:AX28"/>
    <mergeCell ref="AY4:BF4"/>
    <mergeCell ref="AO5:AO16"/>
    <mergeCell ref="AO17:AO28"/>
    <mergeCell ref="AO29:AO40"/>
    <mergeCell ref="AO101:AO112"/>
    <mergeCell ref="AO41:AO52"/>
    <mergeCell ref="AO53:AO64"/>
    <mergeCell ref="AO65:AO76"/>
    <mergeCell ref="AO77:AO88"/>
    <mergeCell ref="AO89:AO100"/>
    <mergeCell ref="AF89:AF100"/>
    <mergeCell ref="AF101:AF112"/>
    <mergeCell ref="AF29:AF40"/>
    <mergeCell ref="AF41:AF52"/>
    <mergeCell ref="AF53:AF64"/>
    <mergeCell ref="AF65:AF76"/>
    <mergeCell ref="AF77:AF88"/>
  </mergeCells>
  <phoneticPr fontId="16" type="noConversion"/>
  <conditionalFormatting sqref="A4:AE4 BG4:XFD4">
    <cfRule type="containsText" dxfId="75" priority="28" operator="containsText" text="ABCD">
      <formula>NOT(ISERROR(SEARCH("ABCD",A4)))</formula>
    </cfRule>
    <cfRule type="containsText" dxfId="74" priority="27" operator="containsText" text="AABC">
      <formula>NOT(ISERROR(SEARCH("AABC",A4)))</formula>
    </cfRule>
  </conditionalFormatting>
  <conditionalFormatting sqref="B5:AD112 AY6:BB28">
    <cfRule type="duplicateValues" dxfId="73" priority="18"/>
  </conditionalFormatting>
  <conditionalFormatting sqref="B5:AD112">
    <cfRule type="duplicateValues" dxfId="72" priority="30"/>
    <cfRule type="duplicateValues" dxfId="71" priority="29"/>
  </conditionalFormatting>
  <conditionalFormatting sqref="AG4:AV4">
    <cfRule type="containsText" dxfId="70" priority="3" operator="containsText" text="AABC">
      <formula>NOT(ISERROR(SEARCH("AABC",AG4)))</formula>
    </cfRule>
    <cfRule type="containsText" dxfId="69" priority="4" operator="containsText" text="ABCD">
      <formula>NOT(ISERROR(SEARCH("ABCD",AG4)))</formula>
    </cfRule>
  </conditionalFormatting>
  <conditionalFormatting sqref="AH5:AI112">
    <cfRule type="duplicateValues" dxfId="68" priority="26"/>
    <cfRule type="duplicateValues" dxfId="67" priority="25"/>
  </conditionalFormatting>
  <conditionalFormatting sqref="AH5:AN112 AY6:BB28">
    <cfRule type="duplicateValues" dxfId="66" priority="17"/>
  </conditionalFormatting>
  <conditionalFormatting sqref="AH5:AN112 BC6:BC28">
    <cfRule type="duplicateValues" dxfId="65" priority="13"/>
  </conditionalFormatting>
  <conditionalFormatting sqref="AH5:AN112 BD6:BD28">
    <cfRule type="duplicateValues" dxfId="64" priority="12"/>
  </conditionalFormatting>
  <conditionalFormatting sqref="AJ63:AJ97 AL5:AL112">
    <cfRule type="duplicateValues" dxfId="63" priority="22"/>
    <cfRule type="duplicateValues" dxfId="62" priority="21"/>
  </conditionalFormatting>
  <conditionalFormatting sqref="AJ5:AK62 AJ98:AK112 AK63:AK97">
    <cfRule type="duplicateValues" dxfId="61" priority="24"/>
    <cfRule type="duplicateValues" dxfId="60" priority="23"/>
  </conditionalFormatting>
  <conditionalFormatting sqref="AM25:AM34 AN49:AN78">
    <cfRule type="duplicateValues" dxfId="59" priority="36"/>
    <cfRule type="duplicateValues" dxfId="58" priority="35"/>
  </conditionalFormatting>
  <conditionalFormatting sqref="AM35:AM38 AN79:AN96">
    <cfRule type="duplicateValues" dxfId="57" priority="31"/>
    <cfRule type="duplicateValues" dxfId="56" priority="32"/>
  </conditionalFormatting>
  <conditionalFormatting sqref="AM39 AN97:AN108">
    <cfRule type="duplicateValues" dxfId="55" priority="33"/>
    <cfRule type="duplicateValues" dxfId="54" priority="34"/>
  </conditionalFormatting>
  <conditionalFormatting sqref="AM5:AN24 AM40:AN48 AM49:AM108 AM109:AN112 AN25:AN39">
    <cfRule type="duplicateValues" dxfId="53" priority="19"/>
    <cfRule type="duplicateValues" dxfId="52" priority="20"/>
  </conditionalFormatting>
  <conditionalFormatting sqref="AO5:AO112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P5:AV112">
    <cfRule type="colorScale" priority="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C6:BC28 B5:AD112">
    <cfRule type="duplicateValues" dxfId="51" priority="14"/>
  </conditionalFormatting>
  <conditionalFormatting sqref="BC6:BD28">
    <cfRule type="duplicateValues" dxfId="50" priority="15"/>
    <cfRule type="duplicateValues" dxfId="49" priority="11"/>
  </conditionalFormatting>
  <conditionalFormatting sqref="BD6:BD28 B5:AD112">
    <cfRule type="duplicateValues" dxfId="48" priority="16"/>
  </conditionalFormatting>
  <conditionalFormatting sqref="BD41:BD63">
    <cfRule type="duplicateValues" dxfId="47" priority="5"/>
  </conditionalFormatting>
  <conditionalFormatting sqref="BE6:BE28 B5:AD112">
    <cfRule type="duplicateValues" dxfId="46" priority="8"/>
  </conditionalFormatting>
  <conditionalFormatting sqref="BE6:BE28 AH5:AN112">
    <cfRule type="duplicateValues" dxfId="45" priority="10"/>
  </conditionalFormatting>
  <conditionalFormatting sqref="BE6:BF28">
    <cfRule type="duplicateValues" dxfId="44" priority="9"/>
  </conditionalFormatting>
  <conditionalFormatting sqref="BF6:BF28 B5:AD112">
    <cfRule type="duplicateValues" dxfId="43" priority="7"/>
  </conditionalFormatting>
  <conditionalFormatting sqref="BF6:BF28 AH5:AN112">
    <cfRule type="duplicateValues" dxfId="42" priority="6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2E46B-514C-425C-A86B-47B8209DD244}">
  <dimension ref="A1:BG112"/>
  <sheetViews>
    <sheetView topLeftCell="K1" zoomScale="85" zoomScaleNormal="85" workbookViewId="0">
      <selection activeCell="BG6" sqref="BG6:BG28"/>
    </sheetView>
  </sheetViews>
  <sheetFormatPr defaultColWidth="6.7265625" defaultRowHeight="13" x14ac:dyDescent="0.3"/>
  <cols>
    <col min="1" max="1" width="4.26953125" style="14" bestFit="1" customWidth="1"/>
    <col min="2" max="2" width="5" style="14" bestFit="1" customWidth="1"/>
    <col min="3" max="3" width="5.1796875" style="15" bestFit="1" customWidth="1"/>
    <col min="4" max="4" width="4.6328125" style="14" bestFit="1" customWidth="1"/>
    <col min="5" max="5" width="4.90625" style="14" bestFit="1" customWidth="1"/>
    <col min="6" max="6" width="5.1796875" style="14" bestFit="1" customWidth="1"/>
    <col min="7" max="8" width="4.81640625" style="14" bestFit="1" customWidth="1"/>
    <col min="9" max="9" width="4.453125" style="14" bestFit="1" customWidth="1"/>
    <col min="10" max="10" width="4.6328125" style="14" bestFit="1" customWidth="1"/>
    <col min="11" max="12" width="4.81640625" style="14" bestFit="1" customWidth="1"/>
    <col min="13" max="13" width="4.453125" style="14" bestFit="1" customWidth="1"/>
    <col min="14" max="14" width="4.6328125" style="14" bestFit="1" customWidth="1"/>
    <col min="15" max="17" width="4.81640625" style="14" bestFit="1" customWidth="1"/>
    <col min="18" max="18" width="4.6328125" style="14" bestFit="1" customWidth="1"/>
    <col min="19" max="20" width="4.81640625" style="14" bestFit="1" customWidth="1"/>
    <col min="21" max="21" width="4.453125" style="14" bestFit="1" customWidth="1"/>
    <col min="22" max="22" width="4.6328125" style="14" bestFit="1" customWidth="1"/>
    <col min="23" max="23" width="4.81640625" style="14" bestFit="1" customWidth="1"/>
    <col min="24" max="24" width="4.54296875" style="14" bestFit="1" customWidth="1"/>
    <col min="25" max="25" width="4.453125" style="14" bestFit="1" customWidth="1"/>
    <col min="26" max="26" width="4.6328125" style="14" bestFit="1" customWidth="1"/>
    <col min="27" max="28" width="4.54296875" style="14" bestFit="1" customWidth="1"/>
    <col min="29" max="29" width="4.453125" style="14" bestFit="1" customWidth="1"/>
    <col min="30" max="30" width="4.6328125" style="14" bestFit="1" customWidth="1"/>
    <col min="31" max="31" width="6.7265625" style="14"/>
    <col min="32" max="32" width="8.1796875" style="14" customWidth="1"/>
    <col min="33" max="33" width="4.26953125" style="14" bestFit="1" customWidth="1"/>
    <col min="34" max="34" width="5" style="14" bestFit="1" customWidth="1"/>
    <col min="35" max="35" width="5.1796875" style="15" bestFit="1" customWidth="1"/>
    <col min="36" max="40" width="4.81640625" style="14" bestFit="1" customWidth="1"/>
    <col min="41" max="41" width="8.81640625" style="15" customWidth="1"/>
    <col min="42" max="48" width="3.7265625" style="15" customWidth="1"/>
    <col min="49" max="49" width="6.7265625" style="14"/>
    <col min="50" max="51" width="7.26953125" style="50" customWidth="1"/>
    <col min="52" max="54" width="7.26953125" style="51" customWidth="1"/>
    <col min="55" max="56" width="7.26953125" style="52" customWidth="1"/>
    <col min="57" max="57" width="7.26953125" style="53" customWidth="1"/>
    <col min="58" max="58" width="7.26953125" style="54" customWidth="1"/>
    <col min="59" max="16384" width="6.7265625" style="14"/>
  </cols>
  <sheetData>
    <row r="1" spans="1:59" ht="13.5" thickBot="1" x14ac:dyDescent="0.35"/>
    <row r="2" spans="1:59" ht="15.5" thickBot="1" x14ac:dyDescent="0.4">
      <c r="A2" s="1"/>
      <c r="B2" s="117" t="s">
        <v>0</v>
      </c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8"/>
      <c r="AB2" s="118"/>
      <c r="AC2" s="118"/>
      <c r="AD2" s="119"/>
      <c r="AG2" s="1"/>
      <c r="AH2" s="140" t="s">
        <v>1</v>
      </c>
      <c r="AI2" s="118"/>
      <c r="AJ2" s="118"/>
      <c r="AK2" s="118"/>
      <c r="AL2" s="118"/>
      <c r="AM2" s="118"/>
      <c r="AN2" s="119"/>
    </row>
    <row r="3" spans="1:59" x14ac:dyDescent="0.3">
      <c r="A3" s="1"/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4" t="s">
        <v>18</v>
      </c>
      <c r="S3" s="4" t="s">
        <v>19</v>
      </c>
      <c r="T3" s="4" t="s">
        <v>20</v>
      </c>
      <c r="U3" s="4" t="s">
        <v>21</v>
      </c>
      <c r="V3" s="4" t="s">
        <v>22</v>
      </c>
      <c r="W3" s="4" t="s">
        <v>23</v>
      </c>
      <c r="X3" s="4" t="s">
        <v>24</v>
      </c>
      <c r="Y3" s="4" t="s">
        <v>25</v>
      </c>
      <c r="Z3" s="4" t="s">
        <v>26</v>
      </c>
      <c r="AA3" s="4" t="s">
        <v>27</v>
      </c>
      <c r="AB3" s="4" t="s">
        <v>28</v>
      </c>
      <c r="AC3" s="4" t="s">
        <v>29</v>
      </c>
      <c r="AD3" s="4" t="s">
        <v>30</v>
      </c>
      <c r="AG3" s="1"/>
      <c r="AH3" s="4" t="s">
        <v>2</v>
      </c>
      <c r="AI3" s="4" t="s">
        <v>3</v>
      </c>
      <c r="AJ3" s="4" t="s">
        <v>7</v>
      </c>
      <c r="AK3" s="4" t="s">
        <v>8</v>
      </c>
      <c r="AL3" s="4" t="s">
        <v>12</v>
      </c>
      <c r="AM3" s="4" t="s">
        <v>15</v>
      </c>
      <c r="AN3" s="84" t="s">
        <v>16</v>
      </c>
    </row>
    <row r="4" spans="1:59" ht="15" thickBot="1" x14ac:dyDescent="0.3">
      <c r="A4" s="5"/>
      <c r="B4" s="6" t="s">
        <v>31</v>
      </c>
      <c r="C4" s="6" t="s">
        <v>32</v>
      </c>
      <c r="D4" s="7" t="s">
        <v>33</v>
      </c>
      <c r="E4" s="7" t="s">
        <v>34</v>
      </c>
      <c r="F4" s="7" t="s">
        <v>35</v>
      </c>
      <c r="G4" s="6" t="s">
        <v>31</v>
      </c>
      <c r="H4" s="6" t="s">
        <v>32</v>
      </c>
      <c r="I4" s="7" t="s">
        <v>33</v>
      </c>
      <c r="J4" s="7" t="s">
        <v>34</v>
      </c>
      <c r="K4" s="6" t="s">
        <v>31</v>
      </c>
      <c r="L4" s="6" t="s">
        <v>32</v>
      </c>
      <c r="M4" s="7" t="s">
        <v>33</v>
      </c>
      <c r="N4" s="7" t="s">
        <v>34</v>
      </c>
      <c r="O4" s="6" t="s">
        <v>31</v>
      </c>
      <c r="P4" s="6" t="s">
        <v>32</v>
      </c>
      <c r="Q4" s="7" t="s">
        <v>33</v>
      </c>
      <c r="R4" s="7" t="s">
        <v>34</v>
      </c>
      <c r="S4" s="6" t="s">
        <v>31</v>
      </c>
      <c r="T4" s="6" t="s">
        <v>32</v>
      </c>
      <c r="U4" s="7" t="s">
        <v>33</v>
      </c>
      <c r="V4" s="7" t="s">
        <v>34</v>
      </c>
      <c r="W4" s="6" t="s">
        <v>31</v>
      </c>
      <c r="X4" s="6" t="s">
        <v>32</v>
      </c>
      <c r="Y4" s="7" t="s">
        <v>33</v>
      </c>
      <c r="Z4" s="7" t="s">
        <v>34</v>
      </c>
      <c r="AA4" s="6" t="s">
        <v>31</v>
      </c>
      <c r="AB4" s="6" t="s">
        <v>32</v>
      </c>
      <c r="AC4" s="7" t="s">
        <v>33</v>
      </c>
      <c r="AD4" s="7" t="s">
        <v>34</v>
      </c>
      <c r="AG4" s="5"/>
      <c r="AH4" s="38" t="s">
        <v>31</v>
      </c>
      <c r="AI4" s="38" t="s">
        <v>32</v>
      </c>
      <c r="AJ4" s="38" t="s">
        <v>31</v>
      </c>
      <c r="AK4" s="38" t="s">
        <v>32</v>
      </c>
      <c r="AL4" s="38" t="s">
        <v>32</v>
      </c>
      <c r="AM4" s="38" t="s">
        <v>31</v>
      </c>
      <c r="AN4" s="78" t="s">
        <v>32</v>
      </c>
      <c r="AO4" s="82" t="s">
        <v>444</v>
      </c>
      <c r="AP4" s="82" t="s">
        <v>431</v>
      </c>
      <c r="AQ4" s="82" t="s">
        <v>431</v>
      </c>
      <c r="AR4" s="82" t="s">
        <v>431</v>
      </c>
      <c r="AS4" s="82" t="s">
        <v>431</v>
      </c>
      <c r="AT4" s="82" t="s">
        <v>431</v>
      </c>
      <c r="AU4" s="82" t="s">
        <v>431</v>
      </c>
      <c r="AV4" s="82" t="s">
        <v>431</v>
      </c>
      <c r="AY4" s="138" t="s">
        <v>36</v>
      </c>
      <c r="AZ4" s="139"/>
      <c r="BA4" s="139"/>
      <c r="BB4" s="139"/>
      <c r="BC4" s="139"/>
      <c r="BD4" s="139"/>
      <c r="BE4" s="139"/>
      <c r="BF4" s="139"/>
    </row>
    <row r="5" spans="1:59" ht="23.5" customHeight="1" x14ac:dyDescent="0.25">
      <c r="A5" s="9" t="s">
        <v>37</v>
      </c>
      <c r="B5" s="10" t="s">
        <v>38</v>
      </c>
      <c r="C5" s="10" t="s">
        <v>39</v>
      </c>
      <c r="D5" s="10" t="s">
        <v>40</v>
      </c>
      <c r="E5" s="10" t="s">
        <v>41</v>
      </c>
      <c r="F5" s="10" t="s">
        <v>42</v>
      </c>
      <c r="G5" s="10">
        <v>1234</v>
      </c>
      <c r="H5" s="10">
        <v>1123</v>
      </c>
      <c r="I5" s="10">
        <v>1122</v>
      </c>
      <c r="J5" s="10">
        <v>1112</v>
      </c>
      <c r="K5" s="10">
        <v>2345</v>
      </c>
      <c r="L5" s="10">
        <v>2234</v>
      </c>
      <c r="M5" s="10">
        <v>2233</v>
      </c>
      <c r="N5" s="10">
        <v>2223</v>
      </c>
      <c r="O5" s="10">
        <v>3456</v>
      </c>
      <c r="P5" s="10">
        <v>3345</v>
      </c>
      <c r="Q5" s="10">
        <v>3344</v>
      </c>
      <c r="R5" s="10">
        <v>3334</v>
      </c>
      <c r="S5" s="10">
        <v>4567</v>
      </c>
      <c r="T5" s="10">
        <v>4456</v>
      </c>
      <c r="U5" s="10">
        <v>4455</v>
      </c>
      <c r="V5" s="10">
        <v>4445</v>
      </c>
      <c r="W5" s="10">
        <v>5678</v>
      </c>
      <c r="X5" s="10">
        <v>5567</v>
      </c>
      <c r="Y5" s="10">
        <v>5566</v>
      </c>
      <c r="Z5" s="10">
        <v>5556</v>
      </c>
      <c r="AA5" s="10">
        <v>6789</v>
      </c>
      <c r="AB5" s="10">
        <v>6678</v>
      </c>
      <c r="AC5" s="10">
        <v>6677</v>
      </c>
      <c r="AD5" s="10">
        <v>6667</v>
      </c>
      <c r="AF5" s="101" t="s">
        <v>434</v>
      </c>
      <c r="AG5" s="39" t="s">
        <v>37</v>
      </c>
      <c r="AH5" s="40" t="s">
        <v>38</v>
      </c>
      <c r="AI5" s="40" t="s">
        <v>39</v>
      </c>
      <c r="AJ5" s="40">
        <v>1234</v>
      </c>
      <c r="AK5" s="40">
        <v>1123</v>
      </c>
      <c r="AL5" s="40">
        <v>2234</v>
      </c>
      <c r="AM5" s="40">
        <v>3456</v>
      </c>
      <c r="AN5" s="45">
        <v>3345</v>
      </c>
      <c r="AO5" s="107">
        <f>SUM(AP5:AV16)</f>
        <v>26</v>
      </c>
      <c r="AP5" s="75">
        <f>COUNTIF($AZ$6:$FT$28,AH5)</f>
        <v>2</v>
      </c>
      <c r="AQ5" s="75">
        <f t="shared" ref="AQ5:AV20" si="0">COUNTIF($AZ$6:$FT$28,AI5)</f>
        <v>0</v>
      </c>
      <c r="AR5" s="75">
        <f t="shared" si="0"/>
        <v>0</v>
      </c>
      <c r="AS5" s="75">
        <f t="shared" si="0"/>
        <v>0</v>
      </c>
      <c r="AT5" s="75">
        <f t="shared" si="0"/>
        <v>0</v>
      </c>
      <c r="AU5" s="75">
        <f t="shared" si="0"/>
        <v>0</v>
      </c>
      <c r="AV5" s="76">
        <f t="shared" si="0"/>
        <v>0</v>
      </c>
      <c r="AY5" s="55" t="s">
        <v>43</v>
      </c>
      <c r="AZ5" s="55" t="s">
        <v>44</v>
      </c>
      <c r="BA5" s="55" t="s">
        <v>45</v>
      </c>
      <c r="BB5" s="55" t="s">
        <v>46</v>
      </c>
      <c r="BC5" s="56" t="s">
        <v>47</v>
      </c>
      <c r="BD5" s="57" t="s">
        <v>425</v>
      </c>
      <c r="BE5" s="56" t="s">
        <v>429</v>
      </c>
      <c r="BF5" s="57" t="s">
        <v>432</v>
      </c>
      <c r="BG5" s="57" t="s">
        <v>443</v>
      </c>
    </row>
    <row r="6" spans="1:59" ht="14.5" customHeight="1" x14ac:dyDescent="0.3">
      <c r="A6" s="9" t="s">
        <v>48</v>
      </c>
      <c r="B6" s="10" t="s">
        <v>49</v>
      </c>
      <c r="C6" s="10" t="s">
        <v>50</v>
      </c>
      <c r="D6" s="10" t="s">
        <v>51</v>
      </c>
      <c r="E6" s="10" t="s">
        <v>52</v>
      </c>
      <c r="F6" s="10">
        <v>1111</v>
      </c>
      <c r="G6" s="10">
        <v>1235</v>
      </c>
      <c r="H6" s="10">
        <v>1124</v>
      </c>
      <c r="I6" s="10">
        <v>1133</v>
      </c>
      <c r="J6" s="10">
        <v>1113</v>
      </c>
      <c r="K6" s="10">
        <v>2346</v>
      </c>
      <c r="L6" s="10">
        <v>2235</v>
      </c>
      <c r="M6" s="10">
        <v>2244</v>
      </c>
      <c r="N6" s="10">
        <v>2224</v>
      </c>
      <c r="O6" s="10">
        <v>3457</v>
      </c>
      <c r="P6" s="10">
        <v>3346</v>
      </c>
      <c r="Q6" s="10">
        <v>3355</v>
      </c>
      <c r="R6" s="10">
        <v>3335</v>
      </c>
      <c r="S6" s="10">
        <v>4568</v>
      </c>
      <c r="T6" s="10">
        <v>4457</v>
      </c>
      <c r="U6" s="10">
        <v>4466</v>
      </c>
      <c r="V6" s="10">
        <v>4446</v>
      </c>
      <c r="W6" s="10">
        <v>5679</v>
      </c>
      <c r="X6" s="10">
        <v>5568</v>
      </c>
      <c r="Y6" s="10">
        <v>5577</v>
      </c>
      <c r="Z6" s="10">
        <v>5557</v>
      </c>
      <c r="AA6" s="10"/>
      <c r="AB6" s="10">
        <v>6679</v>
      </c>
      <c r="AC6" s="10">
        <v>6688</v>
      </c>
      <c r="AD6" s="10">
        <v>6668</v>
      </c>
      <c r="AF6" s="102"/>
      <c r="AG6" s="9" t="s">
        <v>48</v>
      </c>
      <c r="AH6" s="10" t="s">
        <v>49</v>
      </c>
      <c r="AI6" s="10" t="s">
        <v>50</v>
      </c>
      <c r="AJ6" s="10">
        <v>1235</v>
      </c>
      <c r="AK6" s="10">
        <v>1124</v>
      </c>
      <c r="AL6" s="10">
        <v>2235</v>
      </c>
      <c r="AM6" s="10">
        <v>3457</v>
      </c>
      <c r="AN6" s="46">
        <v>3346</v>
      </c>
      <c r="AO6" s="108"/>
      <c r="AP6" s="77">
        <f t="shared" ref="AP6:AV21" si="1">COUNTIF($AZ$6:$FT$28,AH6)</f>
        <v>5</v>
      </c>
      <c r="AQ6" s="77">
        <f t="shared" si="0"/>
        <v>0</v>
      </c>
      <c r="AR6" s="77">
        <f t="shared" si="0"/>
        <v>0</v>
      </c>
      <c r="AS6" s="77">
        <f t="shared" si="0"/>
        <v>0</v>
      </c>
      <c r="AT6" s="77">
        <f t="shared" si="0"/>
        <v>0</v>
      </c>
      <c r="AU6" s="77">
        <f t="shared" si="0"/>
        <v>1</v>
      </c>
      <c r="AV6" s="79">
        <f t="shared" si="0"/>
        <v>0</v>
      </c>
      <c r="AX6" s="135" t="s">
        <v>53</v>
      </c>
      <c r="AY6" s="58">
        <v>1446</v>
      </c>
      <c r="AZ6" s="58">
        <v>3679</v>
      </c>
      <c r="BA6" s="58">
        <v>4566</v>
      </c>
      <c r="BB6" s="57">
        <v>4567</v>
      </c>
      <c r="BC6" s="59">
        <v>1356</v>
      </c>
      <c r="BD6" s="59">
        <v>3455</v>
      </c>
      <c r="BE6" s="60">
        <v>1388</v>
      </c>
      <c r="BF6" s="59" t="s">
        <v>298</v>
      </c>
      <c r="BG6" s="96" t="s">
        <v>282</v>
      </c>
    </row>
    <row r="7" spans="1:59" ht="14.5" customHeight="1" x14ac:dyDescent="0.3">
      <c r="A7" s="9" t="s">
        <v>54</v>
      </c>
      <c r="B7" s="10" t="s">
        <v>55</v>
      </c>
      <c r="C7" s="10" t="s">
        <v>56</v>
      </c>
      <c r="D7" s="10" t="s">
        <v>57</v>
      </c>
      <c r="E7" s="10" t="s">
        <v>58</v>
      </c>
      <c r="F7" s="10">
        <v>2222</v>
      </c>
      <c r="G7" s="10">
        <v>1236</v>
      </c>
      <c r="H7" s="10">
        <v>1125</v>
      </c>
      <c r="I7" s="10">
        <v>1144</v>
      </c>
      <c r="J7" s="10">
        <v>1114</v>
      </c>
      <c r="K7" s="10">
        <v>2347</v>
      </c>
      <c r="L7" s="10">
        <v>2236</v>
      </c>
      <c r="M7" s="10">
        <v>2255</v>
      </c>
      <c r="N7" s="10">
        <v>2225</v>
      </c>
      <c r="O7" s="10">
        <v>3458</v>
      </c>
      <c r="P7" s="10">
        <v>3347</v>
      </c>
      <c r="Q7" s="10">
        <v>3366</v>
      </c>
      <c r="R7" s="10">
        <v>3336</v>
      </c>
      <c r="S7" s="10">
        <v>4569</v>
      </c>
      <c r="T7" s="10">
        <v>4458</v>
      </c>
      <c r="U7" s="10">
        <v>4477</v>
      </c>
      <c r="V7" s="10">
        <v>4447</v>
      </c>
      <c r="W7" s="10">
        <v>5689</v>
      </c>
      <c r="X7" s="10">
        <v>5569</v>
      </c>
      <c r="Y7" s="10">
        <v>5588</v>
      </c>
      <c r="Z7" s="10">
        <v>5558</v>
      </c>
      <c r="AA7" s="10"/>
      <c r="AB7" s="10">
        <v>6689</v>
      </c>
      <c r="AC7" s="10">
        <v>6699</v>
      </c>
      <c r="AD7" s="10">
        <v>6669</v>
      </c>
      <c r="AF7" s="102"/>
      <c r="AG7" s="9" t="s">
        <v>54</v>
      </c>
      <c r="AH7" s="10" t="s">
        <v>55</v>
      </c>
      <c r="AI7" s="10" t="s">
        <v>56</v>
      </c>
      <c r="AJ7" s="10">
        <v>1236</v>
      </c>
      <c r="AK7" s="10">
        <v>1125</v>
      </c>
      <c r="AL7" s="10">
        <v>2236</v>
      </c>
      <c r="AM7" s="10">
        <v>3458</v>
      </c>
      <c r="AN7" s="46">
        <v>3347</v>
      </c>
      <c r="AO7" s="108"/>
      <c r="AP7" s="77">
        <f t="shared" si="1"/>
        <v>0</v>
      </c>
      <c r="AQ7" s="77">
        <f t="shared" si="0"/>
        <v>0</v>
      </c>
      <c r="AR7" s="77">
        <f t="shared" si="0"/>
        <v>0</v>
      </c>
      <c r="AS7" s="77">
        <f t="shared" si="0"/>
        <v>0</v>
      </c>
      <c r="AT7" s="77">
        <f t="shared" si="0"/>
        <v>0</v>
      </c>
      <c r="AU7" s="77">
        <f t="shared" si="0"/>
        <v>0</v>
      </c>
      <c r="AV7" s="79">
        <f t="shared" si="0"/>
        <v>0</v>
      </c>
      <c r="AX7" s="136"/>
      <c r="AY7" s="58">
        <v>2556</v>
      </c>
      <c r="AZ7" s="58">
        <v>1237</v>
      </c>
      <c r="BA7" s="58">
        <v>1388</v>
      </c>
      <c r="BB7" s="57" t="s">
        <v>49</v>
      </c>
      <c r="BC7" s="59" t="s">
        <v>49</v>
      </c>
      <c r="BD7" s="59">
        <v>4678</v>
      </c>
      <c r="BE7" s="60" t="s">
        <v>71</v>
      </c>
      <c r="BF7" s="59">
        <v>2488</v>
      </c>
      <c r="BG7" s="96">
        <v>4557</v>
      </c>
    </row>
    <row r="8" spans="1:59" ht="14.5" customHeight="1" x14ac:dyDescent="0.3">
      <c r="A8" s="9" t="s">
        <v>59</v>
      </c>
      <c r="B8" s="10" t="s">
        <v>60</v>
      </c>
      <c r="C8" s="10" t="s">
        <v>61</v>
      </c>
      <c r="D8" s="10" t="s">
        <v>62</v>
      </c>
      <c r="E8" s="10" t="s">
        <v>63</v>
      </c>
      <c r="F8" s="10">
        <v>3333</v>
      </c>
      <c r="G8" s="10">
        <v>1237</v>
      </c>
      <c r="H8" s="10">
        <v>1126</v>
      </c>
      <c r="I8" s="10">
        <v>1155</v>
      </c>
      <c r="J8" s="10">
        <v>1115</v>
      </c>
      <c r="K8" s="10">
        <v>2348</v>
      </c>
      <c r="L8" s="10">
        <v>2237</v>
      </c>
      <c r="M8" s="10">
        <v>2266</v>
      </c>
      <c r="N8" s="10">
        <v>2226</v>
      </c>
      <c r="O8" s="10">
        <v>3459</v>
      </c>
      <c r="P8" s="10">
        <v>3348</v>
      </c>
      <c r="Q8" s="10">
        <v>3377</v>
      </c>
      <c r="R8" s="10">
        <v>3337</v>
      </c>
      <c r="S8" s="10">
        <v>4578</v>
      </c>
      <c r="T8" s="10">
        <v>4459</v>
      </c>
      <c r="U8" s="10">
        <v>4488</v>
      </c>
      <c r="V8" s="10">
        <v>4448</v>
      </c>
      <c r="W8" s="10">
        <v>5789</v>
      </c>
      <c r="X8" s="10">
        <v>5578</v>
      </c>
      <c r="Y8" s="10">
        <v>5599</v>
      </c>
      <c r="Z8" s="10">
        <v>5559</v>
      </c>
      <c r="AA8" s="10"/>
      <c r="AB8" s="10">
        <v>6778</v>
      </c>
      <c r="AC8" s="10">
        <v>7799</v>
      </c>
      <c r="AD8" s="10">
        <v>6777</v>
      </c>
      <c r="AF8" s="102"/>
      <c r="AG8" s="9" t="s">
        <v>59</v>
      </c>
      <c r="AH8" s="10" t="s">
        <v>60</v>
      </c>
      <c r="AI8" s="10" t="s">
        <v>61</v>
      </c>
      <c r="AJ8" s="10">
        <v>1237</v>
      </c>
      <c r="AK8" s="10">
        <v>1126</v>
      </c>
      <c r="AL8" s="10">
        <v>2237</v>
      </c>
      <c r="AM8" s="10">
        <v>3459</v>
      </c>
      <c r="AN8" s="46">
        <v>3348</v>
      </c>
      <c r="AO8" s="108"/>
      <c r="AP8" s="77">
        <f t="shared" si="1"/>
        <v>0</v>
      </c>
      <c r="AQ8" s="77">
        <f t="shared" si="0"/>
        <v>0</v>
      </c>
      <c r="AR8" s="77">
        <f t="shared" si="0"/>
        <v>1</v>
      </c>
      <c r="AS8" s="77">
        <f t="shared" si="0"/>
        <v>0</v>
      </c>
      <c r="AT8" s="77">
        <f t="shared" si="0"/>
        <v>0</v>
      </c>
      <c r="AU8" s="77">
        <f t="shared" si="0"/>
        <v>0</v>
      </c>
      <c r="AV8" s="79">
        <f t="shared" si="0"/>
        <v>0</v>
      </c>
      <c r="AX8" s="137"/>
      <c r="AY8" s="58">
        <v>2248</v>
      </c>
      <c r="AZ8" s="58" t="s">
        <v>64</v>
      </c>
      <c r="BA8" s="58" t="s">
        <v>49</v>
      </c>
      <c r="BB8" s="57">
        <v>2356</v>
      </c>
      <c r="BC8" s="59">
        <v>2356</v>
      </c>
      <c r="BD8" s="59" t="s">
        <v>274</v>
      </c>
      <c r="BE8" s="60">
        <v>1457</v>
      </c>
      <c r="BF8" s="59" t="s">
        <v>352</v>
      </c>
      <c r="BG8" s="96">
        <v>4588</v>
      </c>
    </row>
    <row r="9" spans="1:59" ht="14.5" customHeight="1" x14ac:dyDescent="0.3">
      <c r="A9" s="9" t="s">
        <v>65</v>
      </c>
      <c r="B9" s="10" t="s">
        <v>66</v>
      </c>
      <c r="C9" s="10" t="s">
        <v>67</v>
      </c>
      <c r="D9" s="10" t="s">
        <v>68</v>
      </c>
      <c r="E9" s="10" t="s">
        <v>69</v>
      </c>
      <c r="F9" s="10">
        <v>4444</v>
      </c>
      <c r="G9" s="10">
        <v>1238</v>
      </c>
      <c r="H9" s="10">
        <v>1127</v>
      </c>
      <c r="I9" s="10">
        <v>1166</v>
      </c>
      <c r="J9" s="10">
        <v>1116</v>
      </c>
      <c r="K9" s="10">
        <v>2349</v>
      </c>
      <c r="L9" s="10">
        <v>2238</v>
      </c>
      <c r="M9" s="10">
        <v>2277</v>
      </c>
      <c r="N9" s="10">
        <v>2227</v>
      </c>
      <c r="O9" s="10">
        <v>3467</v>
      </c>
      <c r="P9" s="10">
        <v>3349</v>
      </c>
      <c r="Q9" s="10">
        <v>3388</v>
      </c>
      <c r="R9" s="10">
        <v>3338</v>
      </c>
      <c r="S9" s="10">
        <v>4579</v>
      </c>
      <c r="T9" s="10">
        <v>4467</v>
      </c>
      <c r="U9" s="10">
        <v>4499</v>
      </c>
      <c r="V9" s="10">
        <v>4449</v>
      </c>
      <c r="W9" s="10"/>
      <c r="X9" s="10">
        <v>5579</v>
      </c>
      <c r="Y9" s="10"/>
      <c r="Z9" s="10">
        <v>5666</v>
      </c>
      <c r="AA9" s="10"/>
      <c r="AB9" s="10">
        <v>6779</v>
      </c>
      <c r="AC9" s="10"/>
      <c r="AD9" s="10">
        <v>6888</v>
      </c>
      <c r="AF9" s="102"/>
      <c r="AG9" s="9" t="s">
        <v>65</v>
      </c>
      <c r="AH9" s="10" t="s">
        <v>66</v>
      </c>
      <c r="AI9" s="10" t="s">
        <v>67</v>
      </c>
      <c r="AJ9" s="10">
        <v>1238</v>
      </c>
      <c r="AK9" s="10">
        <v>1127</v>
      </c>
      <c r="AL9" s="10">
        <v>2238</v>
      </c>
      <c r="AM9" s="10">
        <v>3467</v>
      </c>
      <c r="AN9" s="46">
        <v>3349</v>
      </c>
      <c r="AO9" s="108"/>
      <c r="AP9" s="77">
        <f t="shared" si="1"/>
        <v>0</v>
      </c>
      <c r="AQ9" s="77">
        <f t="shared" si="0"/>
        <v>0</v>
      </c>
      <c r="AR9" s="77">
        <f t="shared" si="0"/>
        <v>1</v>
      </c>
      <c r="AS9" s="77">
        <f t="shared" si="0"/>
        <v>0</v>
      </c>
      <c r="AT9" s="77">
        <f t="shared" si="0"/>
        <v>0</v>
      </c>
      <c r="AU9" s="77">
        <f t="shared" si="0"/>
        <v>1</v>
      </c>
      <c r="AV9" s="79">
        <f t="shared" si="0"/>
        <v>0</v>
      </c>
      <c r="AX9" s="135" t="s">
        <v>70</v>
      </c>
      <c r="AY9" s="58">
        <v>5699</v>
      </c>
      <c r="AZ9" s="58">
        <v>1137</v>
      </c>
      <c r="BA9" s="58" t="s">
        <v>71</v>
      </c>
      <c r="BB9" s="57">
        <v>3679</v>
      </c>
      <c r="BC9" s="59">
        <v>1137</v>
      </c>
      <c r="BD9" s="59">
        <v>4578</v>
      </c>
      <c r="BE9" s="60">
        <v>3568</v>
      </c>
      <c r="BF9" s="59" t="s">
        <v>342</v>
      </c>
      <c r="BG9" s="96" t="s">
        <v>228</v>
      </c>
    </row>
    <row r="10" spans="1:59" ht="14.5" customHeight="1" x14ac:dyDescent="0.3">
      <c r="A10" s="9" t="s">
        <v>72</v>
      </c>
      <c r="B10" s="10" t="s">
        <v>73</v>
      </c>
      <c r="C10" s="10" t="s">
        <v>74</v>
      </c>
      <c r="D10" s="10" t="s">
        <v>75</v>
      </c>
      <c r="E10" s="10" t="s">
        <v>76</v>
      </c>
      <c r="F10" s="10">
        <v>5555</v>
      </c>
      <c r="G10" s="10">
        <v>1239</v>
      </c>
      <c r="H10" s="10">
        <v>1128</v>
      </c>
      <c r="I10" s="10">
        <v>1177</v>
      </c>
      <c r="J10" s="10">
        <v>1117</v>
      </c>
      <c r="K10" s="10">
        <v>2356</v>
      </c>
      <c r="L10" s="10">
        <v>2239</v>
      </c>
      <c r="M10" s="10">
        <v>2288</v>
      </c>
      <c r="N10" s="10">
        <v>2228</v>
      </c>
      <c r="O10" s="10">
        <v>3468</v>
      </c>
      <c r="P10" s="10">
        <v>3356</v>
      </c>
      <c r="Q10" s="10">
        <v>3399</v>
      </c>
      <c r="R10" s="10">
        <v>3339</v>
      </c>
      <c r="S10" s="10">
        <v>4589</v>
      </c>
      <c r="T10" s="10">
        <v>4468</v>
      </c>
      <c r="U10" s="10"/>
      <c r="V10" s="10">
        <v>4555</v>
      </c>
      <c r="W10" s="10"/>
      <c r="X10" s="10">
        <v>5589</v>
      </c>
      <c r="Y10" s="10"/>
      <c r="Z10" s="10">
        <v>5777</v>
      </c>
      <c r="AA10" s="10"/>
      <c r="AB10" s="10">
        <v>6788</v>
      </c>
      <c r="AC10" s="10"/>
      <c r="AD10" s="10">
        <v>6999</v>
      </c>
      <c r="AF10" s="102"/>
      <c r="AG10" s="9" t="s">
        <v>72</v>
      </c>
      <c r="AH10" s="10" t="s">
        <v>73</v>
      </c>
      <c r="AI10" s="10" t="s">
        <v>74</v>
      </c>
      <c r="AJ10" s="10">
        <v>1239</v>
      </c>
      <c r="AK10" s="10">
        <v>1128</v>
      </c>
      <c r="AL10" s="10">
        <v>2239</v>
      </c>
      <c r="AM10" s="10">
        <v>3468</v>
      </c>
      <c r="AN10" s="46">
        <v>3356</v>
      </c>
      <c r="AO10" s="108"/>
      <c r="AP10" s="77">
        <f t="shared" si="1"/>
        <v>0</v>
      </c>
      <c r="AQ10" s="77">
        <f t="shared" si="0"/>
        <v>0</v>
      </c>
      <c r="AR10" s="77">
        <f t="shared" si="0"/>
        <v>0</v>
      </c>
      <c r="AS10" s="77">
        <f t="shared" si="0"/>
        <v>0</v>
      </c>
      <c r="AT10" s="77">
        <f t="shared" si="0"/>
        <v>0</v>
      </c>
      <c r="AU10" s="77">
        <f t="shared" si="0"/>
        <v>0</v>
      </c>
      <c r="AV10" s="79">
        <f t="shared" si="0"/>
        <v>0</v>
      </c>
      <c r="AX10" s="136"/>
      <c r="AY10" s="58">
        <v>2356</v>
      </c>
      <c r="AZ10" s="58">
        <v>2446</v>
      </c>
      <c r="BA10" s="58">
        <v>1248</v>
      </c>
      <c r="BB10" s="57">
        <v>1137</v>
      </c>
      <c r="BC10" s="59">
        <v>1335</v>
      </c>
      <c r="BD10" s="59">
        <v>1447</v>
      </c>
      <c r="BE10" s="60" t="s">
        <v>96</v>
      </c>
      <c r="BF10" s="59">
        <v>3889</v>
      </c>
      <c r="BG10" s="96">
        <v>4578</v>
      </c>
    </row>
    <row r="11" spans="1:59" ht="14.5" customHeight="1" x14ac:dyDescent="0.3">
      <c r="A11" s="9" t="s">
        <v>77</v>
      </c>
      <c r="B11" s="10" t="s">
        <v>78</v>
      </c>
      <c r="C11" s="10" t="s">
        <v>79</v>
      </c>
      <c r="D11" s="10" t="s">
        <v>80</v>
      </c>
      <c r="E11" s="10" t="s">
        <v>81</v>
      </c>
      <c r="F11" s="10">
        <v>6666</v>
      </c>
      <c r="G11" s="10">
        <v>1245</v>
      </c>
      <c r="H11" s="10">
        <v>1129</v>
      </c>
      <c r="I11" s="10">
        <v>1188</v>
      </c>
      <c r="J11" s="10">
        <v>1118</v>
      </c>
      <c r="K11" s="10">
        <v>2357</v>
      </c>
      <c r="L11" s="10">
        <v>2245</v>
      </c>
      <c r="M11" s="10">
        <v>2299</v>
      </c>
      <c r="N11" s="10">
        <v>2229</v>
      </c>
      <c r="O11" s="10">
        <v>3469</v>
      </c>
      <c r="P11" s="10">
        <v>3357</v>
      </c>
      <c r="Q11" s="10">
        <v>3455</v>
      </c>
      <c r="R11" s="10">
        <v>3444</v>
      </c>
      <c r="S11" s="10">
        <v>4678</v>
      </c>
      <c r="T11" s="10">
        <v>4469</v>
      </c>
      <c r="U11" s="10"/>
      <c r="V11" s="10">
        <v>4666</v>
      </c>
      <c r="W11" s="10"/>
      <c r="X11" s="10">
        <v>5667</v>
      </c>
      <c r="Y11" s="10"/>
      <c r="Z11" s="10">
        <v>5888</v>
      </c>
      <c r="AA11" s="10"/>
      <c r="AB11" s="10">
        <v>6799</v>
      </c>
      <c r="AC11" s="10"/>
      <c r="AD11" s="10"/>
      <c r="AF11" s="102"/>
      <c r="AG11" s="9" t="s">
        <v>77</v>
      </c>
      <c r="AH11" s="10" t="s">
        <v>78</v>
      </c>
      <c r="AI11" s="10" t="s">
        <v>79</v>
      </c>
      <c r="AJ11" s="10">
        <v>1245</v>
      </c>
      <c r="AK11" s="10">
        <v>1129</v>
      </c>
      <c r="AL11" s="10">
        <v>2245</v>
      </c>
      <c r="AM11" s="10">
        <v>3469</v>
      </c>
      <c r="AN11" s="46">
        <v>3357</v>
      </c>
      <c r="AO11" s="108"/>
      <c r="AP11" s="77">
        <f t="shared" si="1"/>
        <v>0</v>
      </c>
      <c r="AQ11" s="77">
        <f t="shared" si="0"/>
        <v>0</v>
      </c>
      <c r="AR11" s="77">
        <f t="shared" si="0"/>
        <v>0</v>
      </c>
      <c r="AS11" s="77">
        <f t="shared" si="0"/>
        <v>0</v>
      </c>
      <c r="AT11" s="77">
        <f t="shared" si="0"/>
        <v>0</v>
      </c>
      <c r="AU11" s="77">
        <f t="shared" si="0"/>
        <v>0</v>
      </c>
      <c r="AV11" s="79">
        <f t="shared" si="0"/>
        <v>0</v>
      </c>
      <c r="AX11" s="136"/>
      <c r="AY11" s="58">
        <v>3679</v>
      </c>
      <c r="AZ11" s="58">
        <v>1339</v>
      </c>
      <c r="BA11" s="58" t="s">
        <v>38</v>
      </c>
      <c r="BB11" s="57" t="s">
        <v>71</v>
      </c>
      <c r="BC11" s="59">
        <v>1344</v>
      </c>
      <c r="BD11" s="59">
        <v>3577</v>
      </c>
      <c r="BE11" s="60">
        <v>1356</v>
      </c>
      <c r="BF11" s="59">
        <v>2367</v>
      </c>
      <c r="BG11" s="96">
        <v>5788</v>
      </c>
    </row>
    <row r="12" spans="1:59" ht="14.5" customHeight="1" x14ac:dyDescent="0.3">
      <c r="A12" s="9" t="s">
        <v>82</v>
      </c>
      <c r="B12" s="10" t="s">
        <v>83</v>
      </c>
      <c r="C12" s="10" t="s">
        <v>84</v>
      </c>
      <c r="D12" s="10" t="s">
        <v>85</v>
      </c>
      <c r="E12" s="10" t="s">
        <v>86</v>
      </c>
      <c r="F12" s="10">
        <v>7777</v>
      </c>
      <c r="G12" s="10">
        <v>1246</v>
      </c>
      <c r="H12" s="10">
        <v>1134</v>
      </c>
      <c r="I12" s="10">
        <v>1199</v>
      </c>
      <c r="J12" s="10">
        <v>1119</v>
      </c>
      <c r="K12" s="10">
        <v>2358</v>
      </c>
      <c r="L12" s="10">
        <v>2246</v>
      </c>
      <c r="M12" s="10"/>
      <c r="N12" s="10">
        <v>2333</v>
      </c>
      <c r="O12" s="10">
        <v>3478</v>
      </c>
      <c r="P12" s="10">
        <v>3358</v>
      </c>
      <c r="Q12" s="10"/>
      <c r="R12" s="10">
        <v>3555</v>
      </c>
      <c r="S12" s="10">
        <v>4679</v>
      </c>
      <c r="T12" s="10">
        <v>4478</v>
      </c>
      <c r="U12" s="10"/>
      <c r="V12" s="10">
        <v>4777</v>
      </c>
      <c r="W12" s="10"/>
      <c r="X12" s="10">
        <v>5668</v>
      </c>
      <c r="Y12" s="10"/>
      <c r="Z12" s="10">
        <v>5999</v>
      </c>
      <c r="AA12" s="10"/>
      <c r="AB12" s="10">
        <v>6889</v>
      </c>
      <c r="AC12" s="10"/>
      <c r="AD12" s="10"/>
      <c r="AF12" s="102"/>
      <c r="AG12" s="9" t="s">
        <v>82</v>
      </c>
      <c r="AH12" s="10" t="s">
        <v>83</v>
      </c>
      <c r="AI12" s="10" t="s">
        <v>84</v>
      </c>
      <c r="AJ12" s="10">
        <v>1246</v>
      </c>
      <c r="AK12" s="10">
        <v>1134</v>
      </c>
      <c r="AL12" s="10">
        <v>2246</v>
      </c>
      <c r="AM12" s="10">
        <v>3478</v>
      </c>
      <c r="AN12" s="46">
        <v>3358</v>
      </c>
      <c r="AO12" s="108"/>
      <c r="AP12" s="77">
        <f t="shared" si="1"/>
        <v>0</v>
      </c>
      <c r="AQ12" s="77">
        <f t="shared" si="0"/>
        <v>0</v>
      </c>
      <c r="AR12" s="77">
        <f t="shared" si="0"/>
        <v>1</v>
      </c>
      <c r="AS12" s="77">
        <f t="shared" si="0"/>
        <v>0</v>
      </c>
      <c r="AT12" s="77">
        <f t="shared" si="0"/>
        <v>0</v>
      </c>
      <c r="AU12" s="77">
        <f t="shared" si="0"/>
        <v>0</v>
      </c>
      <c r="AV12" s="79">
        <f t="shared" si="0"/>
        <v>1</v>
      </c>
      <c r="AX12" s="136"/>
      <c r="AY12" s="58" t="s">
        <v>51</v>
      </c>
      <c r="AZ12" s="58">
        <v>3667</v>
      </c>
      <c r="BA12" s="58">
        <v>5588</v>
      </c>
      <c r="BB12" s="57">
        <v>2446</v>
      </c>
      <c r="BC12" s="59">
        <v>2448</v>
      </c>
      <c r="BD12" s="59">
        <v>1238</v>
      </c>
      <c r="BE12" s="60">
        <v>2489</v>
      </c>
      <c r="BF12" s="59" t="s">
        <v>279</v>
      </c>
      <c r="BG12" s="96" t="s">
        <v>276</v>
      </c>
    </row>
    <row r="13" spans="1:59" ht="14.5" customHeight="1" x14ac:dyDescent="0.3">
      <c r="A13" s="9" t="s">
        <v>87</v>
      </c>
      <c r="B13" s="10" t="s">
        <v>88</v>
      </c>
      <c r="C13" s="10" t="s">
        <v>89</v>
      </c>
      <c r="D13" s="10" t="s">
        <v>90</v>
      </c>
      <c r="E13" s="10" t="s">
        <v>91</v>
      </c>
      <c r="F13" s="10">
        <v>8888</v>
      </c>
      <c r="G13" s="10">
        <v>1247</v>
      </c>
      <c r="H13" s="10">
        <v>1135</v>
      </c>
      <c r="I13" s="10"/>
      <c r="J13" s="10">
        <v>1222</v>
      </c>
      <c r="K13" s="10">
        <v>2359</v>
      </c>
      <c r="L13" s="10">
        <v>2247</v>
      </c>
      <c r="M13" s="10"/>
      <c r="N13" s="10">
        <v>2444</v>
      </c>
      <c r="O13" s="10">
        <v>3479</v>
      </c>
      <c r="P13" s="10">
        <v>3359</v>
      </c>
      <c r="Q13" s="10"/>
      <c r="R13" s="10">
        <v>3666</v>
      </c>
      <c r="S13" s="10">
        <v>4689</v>
      </c>
      <c r="T13" s="10">
        <v>4479</v>
      </c>
      <c r="U13" s="10"/>
      <c r="V13" s="10">
        <v>4888</v>
      </c>
      <c r="W13" s="10"/>
      <c r="X13" s="10">
        <v>5669</v>
      </c>
      <c r="Y13" s="10"/>
      <c r="Z13" s="10"/>
      <c r="AA13" s="10"/>
      <c r="AB13" s="10">
        <v>6899</v>
      </c>
      <c r="AC13" s="10"/>
      <c r="AD13" s="10"/>
      <c r="AF13" s="102"/>
      <c r="AG13" s="9" t="s">
        <v>87</v>
      </c>
      <c r="AH13" s="10" t="s">
        <v>88</v>
      </c>
      <c r="AI13" s="10" t="s">
        <v>89</v>
      </c>
      <c r="AJ13" s="10">
        <v>1247</v>
      </c>
      <c r="AK13" s="10">
        <v>1135</v>
      </c>
      <c r="AL13" s="10">
        <v>2247</v>
      </c>
      <c r="AM13" s="10">
        <v>3479</v>
      </c>
      <c r="AN13" s="46">
        <v>3359</v>
      </c>
      <c r="AO13" s="108"/>
      <c r="AP13" s="77">
        <f t="shared" si="1"/>
        <v>1</v>
      </c>
      <c r="AQ13" s="77">
        <f t="shared" si="0"/>
        <v>0</v>
      </c>
      <c r="AR13" s="77">
        <f t="shared" si="0"/>
        <v>0</v>
      </c>
      <c r="AS13" s="77">
        <f t="shared" si="0"/>
        <v>0</v>
      </c>
      <c r="AT13" s="77">
        <f t="shared" si="0"/>
        <v>0</v>
      </c>
      <c r="AU13" s="77">
        <f t="shared" si="0"/>
        <v>0</v>
      </c>
      <c r="AV13" s="79">
        <f t="shared" si="0"/>
        <v>0</v>
      </c>
      <c r="AX13" s="136"/>
      <c r="AY13" s="58">
        <v>1445</v>
      </c>
      <c r="AZ13" s="58">
        <v>2568</v>
      </c>
      <c r="BA13" s="58">
        <v>6678</v>
      </c>
      <c r="BB13" s="57" t="s">
        <v>38</v>
      </c>
      <c r="BC13" s="59">
        <v>3679</v>
      </c>
      <c r="BD13" s="59">
        <v>2456</v>
      </c>
      <c r="BE13" s="60">
        <v>1248</v>
      </c>
      <c r="BF13" s="59" t="s">
        <v>102</v>
      </c>
      <c r="BG13" s="96">
        <v>4589</v>
      </c>
    </row>
    <row r="14" spans="1:59" ht="14.5" customHeight="1" x14ac:dyDescent="0.3">
      <c r="A14" s="9" t="s">
        <v>92</v>
      </c>
      <c r="B14" s="10" t="s">
        <v>93</v>
      </c>
      <c r="C14" s="10" t="s">
        <v>94</v>
      </c>
      <c r="D14" s="10">
        <v>7788</v>
      </c>
      <c r="E14" s="10" t="s">
        <v>95</v>
      </c>
      <c r="F14" s="10">
        <v>9999</v>
      </c>
      <c r="G14" s="10">
        <v>1248</v>
      </c>
      <c r="H14" s="10">
        <v>1136</v>
      </c>
      <c r="I14" s="10"/>
      <c r="J14" s="10">
        <v>1333</v>
      </c>
      <c r="K14" s="10">
        <v>2367</v>
      </c>
      <c r="L14" s="10">
        <v>2248</v>
      </c>
      <c r="M14" s="10"/>
      <c r="N14" s="10">
        <v>2555</v>
      </c>
      <c r="O14" s="10">
        <v>3489</v>
      </c>
      <c r="P14" s="10">
        <v>3367</v>
      </c>
      <c r="Q14" s="10"/>
      <c r="R14" s="10">
        <v>3777</v>
      </c>
      <c r="S14" s="10">
        <v>4789</v>
      </c>
      <c r="T14" s="10">
        <v>4489</v>
      </c>
      <c r="U14" s="10"/>
      <c r="V14" s="10">
        <v>4999</v>
      </c>
      <c r="W14" s="10"/>
      <c r="X14" s="10">
        <v>5677</v>
      </c>
      <c r="Y14" s="10"/>
      <c r="Z14" s="10"/>
      <c r="AA14" s="10"/>
      <c r="AB14" s="10">
        <v>7789</v>
      </c>
      <c r="AC14" s="10"/>
      <c r="AD14" s="10"/>
      <c r="AF14" s="102"/>
      <c r="AG14" s="9" t="s">
        <v>92</v>
      </c>
      <c r="AH14" s="10" t="s">
        <v>93</v>
      </c>
      <c r="AI14" s="10" t="s">
        <v>94</v>
      </c>
      <c r="AJ14" s="10">
        <v>1248</v>
      </c>
      <c r="AK14" s="10">
        <v>1136</v>
      </c>
      <c r="AL14" s="10">
        <v>2248</v>
      </c>
      <c r="AM14" s="10">
        <v>3489</v>
      </c>
      <c r="AN14" s="46">
        <v>3367</v>
      </c>
      <c r="AO14" s="108"/>
      <c r="AP14" s="77">
        <f t="shared" si="1"/>
        <v>0</v>
      </c>
      <c r="AQ14" s="77">
        <f t="shared" si="0"/>
        <v>1</v>
      </c>
      <c r="AR14" s="77">
        <f t="shared" si="0"/>
        <v>3</v>
      </c>
      <c r="AS14" s="77">
        <f t="shared" si="0"/>
        <v>0</v>
      </c>
      <c r="AT14" s="77">
        <f t="shared" si="0"/>
        <v>0</v>
      </c>
      <c r="AU14" s="77">
        <f t="shared" si="0"/>
        <v>0</v>
      </c>
      <c r="AV14" s="79">
        <f t="shared" si="0"/>
        <v>0</v>
      </c>
      <c r="AX14" s="136"/>
      <c r="AY14" s="58" t="s">
        <v>96</v>
      </c>
      <c r="AZ14" s="58">
        <v>1344</v>
      </c>
      <c r="BA14" s="58" t="s">
        <v>97</v>
      </c>
      <c r="BB14" s="57">
        <v>5588</v>
      </c>
      <c r="BC14" s="59">
        <v>5588</v>
      </c>
      <c r="BD14" s="59">
        <v>5789</v>
      </c>
      <c r="BE14" s="60">
        <v>1347</v>
      </c>
      <c r="BF14" s="59">
        <v>2368</v>
      </c>
      <c r="BG14" s="96" t="s">
        <v>313</v>
      </c>
    </row>
    <row r="15" spans="1:59" ht="14.5" customHeight="1" x14ac:dyDescent="0.3">
      <c r="A15" s="9" t="s">
        <v>98</v>
      </c>
      <c r="B15" s="10" t="s">
        <v>99</v>
      </c>
      <c r="C15" s="10" t="s">
        <v>100</v>
      </c>
      <c r="D15" s="10">
        <v>8899</v>
      </c>
      <c r="E15" s="10" t="s">
        <v>101</v>
      </c>
      <c r="F15" s="10"/>
      <c r="G15" s="10">
        <v>1249</v>
      </c>
      <c r="H15" s="10">
        <v>1137</v>
      </c>
      <c r="I15" s="10"/>
      <c r="J15" s="10">
        <v>1444</v>
      </c>
      <c r="K15" s="10">
        <v>2368</v>
      </c>
      <c r="L15" s="10">
        <v>2249</v>
      </c>
      <c r="M15" s="10"/>
      <c r="N15" s="10">
        <v>2666</v>
      </c>
      <c r="O15" s="10">
        <v>3567</v>
      </c>
      <c r="P15" s="10">
        <v>3368</v>
      </c>
      <c r="Q15" s="10"/>
      <c r="R15" s="10">
        <v>3888</v>
      </c>
      <c r="S15" s="10"/>
      <c r="T15" s="10">
        <v>4556</v>
      </c>
      <c r="U15" s="10"/>
      <c r="V15" s="10"/>
      <c r="W15" s="10"/>
      <c r="X15" s="10">
        <v>5688</v>
      </c>
      <c r="Y15" s="10"/>
      <c r="Z15" s="10"/>
      <c r="AA15" s="10"/>
      <c r="AB15" s="10">
        <v>7889</v>
      </c>
      <c r="AC15" s="10"/>
      <c r="AD15" s="10"/>
      <c r="AF15" s="102"/>
      <c r="AG15" s="9" t="s">
        <v>98</v>
      </c>
      <c r="AH15" s="10" t="s">
        <v>99</v>
      </c>
      <c r="AI15" s="10" t="s">
        <v>100</v>
      </c>
      <c r="AJ15" s="10">
        <v>1249</v>
      </c>
      <c r="AK15" s="10">
        <v>1137</v>
      </c>
      <c r="AL15" s="10">
        <v>2249</v>
      </c>
      <c r="AM15" s="10">
        <v>3567</v>
      </c>
      <c r="AN15" s="46">
        <v>3368</v>
      </c>
      <c r="AO15" s="108"/>
      <c r="AP15" s="77">
        <f t="shared" si="1"/>
        <v>0</v>
      </c>
      <c r="AQ15" s="77">
        <f t="shared" si="0"/>
        <v>0</v>
      </c>
      <c r="AR15" s="77">
        <f t="shared" si="0"/>
        <v>0</v>
      </c>
      <c r="AS15" s="77">
        <f t="shared" si="0"/>
        <v>4</v>
      </c>
      <c r="AT15" s="77">
        <f t="shared" si="0"/>
        <v>0</v>
      </c>
      <c r="AU15" s="77">
        <f t="shared" si="0"/>
        <v>0</v>
      </c>
      <c r="AV15" s="79">
        <f t="shared" si="0"/>
        <v>0</v>
      </c>
      <c r="AX15" s="136"/>
      <c r="AY15" s="58" t="s">
        <v>102</v>
      </c>
      <c r="AZ15" s="58">
        <v>2337</v>
      </c>
      <c r="BA15" s="58">
        <v>6667</v>
      </c>
      <c r="BB15" s="57">
        <v>6678</v>
      </c>
      <c r="BC15" s="59" t="s">
        <v>103</v>
      </c>
      <c r="BD15" s="59" t="s">
        <v>307</v>
      </c>
      <c r="BE15" s="60">
        <v>1456</v>
      </c>
      <c r="BF15" s="59">
        <v>3455</v>
      </c>
      <c r="BG15" s="96">
        <v>4789</v>
      </c>
    </row>
    <row r="16" spans="1:59" ht="15" customHeight="1" thickBot="1" x14ac:dyDescent="0.35">
      <c r="A16" s="9" t="s">
        <v>104</v>
      </c>
      <c r="B16" s="10" t="s">
        <v>105</v>
      </c>
      <c r="C16" s="10" t="s">
        <v>106</v>
      </c>
      <c r="D16" s="10"/>
      <c r="E16" s="10" t="s">
        <v>107</v>
      </c>
      <c r="F16" s="10"/>
      <c r="G16" s="10">
        <v>1256</v>
      </c>
      <c r="H16" s="10">
        <v>1138</v>
      </c>
      <c r="I16" s="10"/>
      <c r="J16" s="10">
        <v>1555</v>
      </c>
      <c r="K16" s="10">
        <v>2369</v>
      </c>
      <c r="L16" s="10">
        <v>2256</v>
      </c>
      <c r="M16" s="10"/>
      <c r="N16" s="10">
        <v>2777</v>
      </c>
      <c r="O16" s="10">
        <v>3568</v>
      </c>
      <c r="P16" s="10">
        <v>3369</v>
      </c>
      <c r="Q16" s="10"/>
      <c r="R16" s="10">
        <v>3999</v>
      </c>
      <c r="S16" s="10"/>
      <c r="T16" s="10">
        <v>4557</v>
      </c>
      <c r="U16" s="10"/>
      <c r="V16" s="10"/>
      <c r="W16" s="10"/>
      <c r="X16" s="10">
        <v>5699</v>
      </c>
      <c r="Y16" s="10"/>
      <c r="Z16" s="10"/>
      <c r="AA16" s="10"/>
      <c r="AB16" s="10">
        <v>7899</v>
      </c>
      <c r="AC16" s="10"/>
      <c r="AD16" s="10"/>
      <c r="AF16" s="103"/>
      <c r="AG16" s="41" t="s">
        <v>104</v>
      </c>
      <c r="AH16" s="42" t="s">
        <v>105</v>
      </c>
      <c r="AI16" s="42" t="s">
        <v>106</v>
      </c>
      <c r="AJ16" s="42">
        <v>1256</v>
      </c>
      <c r="AK16" s="42">
        <v>1138</v>
      </c>
      <c r="AL16" s="42">
        <v>2256</v>
      </c>
      <c r="AM16" s="42">
        <v>3568</v>
      </c>
      <c r="AN16" s="47">
        <v>3369</v>
      </c>
      <c r="AO16" s="109"/>
      <c r="AP16" s="80">
        <f t="shared" si="1"/>
        <v>0</v>
      </c>
      <c r="AQ16" s="80">
        <f t="shared" si="0"/>
        <v>1</v>
      </c>
      <c r="AR16" s="80">
        <f t="shared" si="0"/>
        <v>0</v>
      </c>
      <c r="AS16" s="80">
        <f t="shared" si="0"/>
        <v>0</v>
      </c>
      <c r="AT16" s="80">
        <f t="shared" si="0"/>
        <v>0</v>
      </c>
      <c r="AU16" s="80">
        <f t="shared" si="0"/>
        <v>3</v>
      </c>
      <c r="AV16" s="81">
        <f t="shared" si="0"/>
        <v>0</v>
      </c>
      <c r="AX16" s="136"/>
      <c r="AY16" s="58" t="s">
        <v>108</v>
      </c>
      <c r="AZ16" s="58">
        <v>2489</v>
      </c>
      <c r="BA16" s="58" t="s">
        <v>109</v>
      </c>
      <c r="BB16" s="57" t="s">
        <v>96</v>
      </c>
      <c r="BC16" s="59" t="s">
        <v>71</v>
      </c>
      <c r="BD16" s="59" t="s">
        <v>195</v>
      </c>
      <c r="BE16" s="60">
        <v>2446</v>
      </c>
      <c r="BF16" s="59">
        <v>3379</v>
      </c>
      <c r="BG16" s="96">
        <v>5577</v>
      </c>
    </row>
    <row r="17" spans="1:59" ht="16" x14ac:dyDescent="0.3">
      <c r="A17" s="9" t="s">
        <v>110</v>
      </c>
      <c r="B17" s="10" t="s">
        <v>111</v>
      </c>
      <c r="C17" s="10" t="s">
        <v>108</v>
      </c>
      <c r="D17" s="10"/>
      <c r="E17" s="10" t="s">
        <v>112</v>
      </c>
      <c r="F17" s="10"/>
      <c r="G17" s="10">
        <v>1257</v>
      </c>
      <c r="H17" s="10">
        <v>1139</v>
      </c>
      <c r="I17" s="10"/>
      <c r="J17" s="10">
        <v>1666</v>
      </c>
      <c r="K17" s="10">
        <v>2378</v>
      </c>
      <c r="L17" s="10">
        <v>2257</v>
      </c>
      <c r="M17" s="10"/>
      <c r="N17" s="10">
        <v>2888</v>
      </c>
      <c r="O17" s="10">
        <v>3569</v>
      </c>
      <c r="P17" s="10">
        <v>3378</v>
      </c>
      <c r="Q17" s="10"/>
      <c r="R17" s="10"/>
      <c r="S17" s="10"/>
      <c r="T17" s="10">
        <v>4558</v>
      </c>
      <c r="U17" s="10"/>
      <c r="V17" s="10"/>
      <c r="W17" s="10"/>
      <c r="X17" s="10">
        <v>5778</v>
      </c>
      <c r="Y17" s="10"/>
      <c r="Z17" s="10"/>
      <c r="AA17" s="10"/>
      <c r="AB17" s="10"/>
      <c r="AC17" s="10"/>
      <c r="AD17" s="10"/>
      <c r="AF17" s="101" t="s">
        <v>435</v>
      </c>
      <c r="AG17" s="39" t="s">
        <v>110</v>
      </c>
      <c r="AH17" s="40" t="s">
        <v>111</v>
      </c>
      <c r="AI17" s="40" t="s">
        <v>108</v>
      </c>
      <c r="AJ17" s="40">
        <v>1257</v>
      </c>
      <c r="AK17" s="40">
        <v>1139</v>
      </c>
      <c r="AL17" s="40">
        <v>2257</v>
      </c>
      <c r="AM17" s="40">
        <v>3569</v>
      </c>
      <c r="AN17" s="48">
        <v>3378</v>
      </c>
      <c r="AO17" s="107">
        <f t="shared" ref="AO17" si="2">SUM(AP17:AV28)</f>
        <v>19</v>
      </c>
      <c r="AP17" s="75">
        <f t="shared" si="1"/>
        <v>0</v>
      </c>
      <c r="AQ17" s="75">
        <f t="shared" si="0"/>
        <v>0</v>
      </c>
      <c r="AR17" s="75">
        <f t="shared" si="0"/>
        <v>0</v>
      </c>
      <c r="AS17" s="75">
        <f t="shared" si="0"/>
        <v>0</v>
      </c>
      <c r="AT17" s="75">
        <f t="shared" si="0"/>
        <v>0</v>
      </c>
      <c r="AU17" s="75">
        <f t="shared" si="0"/>
        <v>0</v>
      </c>
      <c r="AV17" s="76">
        <f t="shared" si="0"/>
        <v>0</v>
      </c>
      <c r="AX17" s="136"/>
      <c r="AY17" s="58">
        <v>1347</v>
      </c>
      <c r="AZ17" s="58">
        <v>1668</v>
      </c>
      <c r="BA17" s="58" t="s">
        <v>113</v>
      </c>
      <c r="BB17" s="57">
        <v>1344</v>
      </c>
      <c r="BC17" s="59">
        <v>2446</v>
      </c>
      <c r="BD17" s="59">
        <v>1488</v>
      </c>
      <c r="BE17" s="60">
        <v>1679</v>
      </c>
      <c r="BF17" s="59">
        <v>3457</v>
      </c>
      <c r="BG17" s="96">
        <v>3666</v>
      </c>
    </row>
    <row r="18" spans="1:59" ht="16" x14ac:dyDescent="0.3">
      <c r="A18" s="9" t="s">
        <v>114</v>
      </c>
      <c r="B18" s="10" t="s">
        <v>115</v>
      </c>
      <c r="C18" s="10" t="s">
        <v>116</v>
      </c>
      <c r="D18" s="10"/>
      <c r="E18" s="10" t="s">
        <v>117</v>
      </c>
      <c r="F18" s="10"/>
      <c r="G18" s="10">
        <v>1258</v>
      </c>
      <c r="H18" s="10">
        <v>1145</v>
      </c>
      <c r="I18" s="10"/>
      <c r="J18" s="10">
        <v>1777</v>
      </c>
      <c r="K18" s="10">
        <v>2379</v>
      </c>
      <c r="L18" s="10">
        <v>2258</v>
      </c>
      <c r="M18" s="10"/>
      <c r="N18" s="10">
        <v>2999</v>
      </c>
      <c r="O18" s="10">
        <v>3578</v>
      </c>
      <c r="P18" s="10">
        <v>3379</v>
      </c>
      <c r="Q18" s="10"/>
      <c r="R18" s="10"/>
      <c r="S18" s="10"/>
      <c r="T18" s="10">
        <v>4559</v>
      </c>
      <c r="U18" s="10"/>
      <c r="V18" s="10"/>
      <c r="W18" s="10"/>
      <c r="X18" s="10">
        <v>5779</v>
      </c>
      <c r="Y18" s="10"/>
      <c r="Z18" s="10"/>
      <c r="AA18" s="10"/>
      <c r="AB18" s="10"/>
      <c r="AC18" s="10"/>
      <c r="AD18" s="10"/>
      <c r="AF18" s="102"/>
      <c r="AG18" s="9" t="s">
        <v>114</v>
      </c>
      <c r="AH18" s="10" t="s">
        <v>115</v>
      </c>
      <c r="AI18" s="10" t="s">
        <v>116</v>
      </c>
      <c r="AJ18" s="10">
        <v>1258</v>
      </c>
      <c r="AK18" s="10">
        <v>1145</v>
      </c>
      <c r="AL18" s="10">
        <v>2258</v>
      </c>
      <c r="AM18" s="10">
        <v>3578</v>
      </c>
      <c r="AN18" s="46">
        <v>3379</v>
      </c>
      <c r="AO18" s="108"/>
      <c r="AP18" s="77">
        <f t="shared" si="1"/>
        <v>0</v>
      </c>
      <c r="AQ18" s="77">
        <f t="shared" si="0"/>
        <v>0</v>
      </c>
      <c r="AR18" s="77">
        <f t="shared" si="0"/>
        <v>1</v>
      </c>
      <c r="AS18" s="77">
        <f t="shared" si="0"/>
        <v>0</v>
      </c>
      <c r="AT18" s="77">
        <f t="shared" si="0"/>
        <v>0</v>
      </c>
      <c r="AU18" s="77">
        <f t="shared" si="0"/>
        <v>0</v>
      </c>
      <c r="AV18" s="79">
        <f t="shared" si="0"/>
        <v>1</v>
      </c>
      <c r="AX18" s="137"/>
      <c r="AY18" s="58">
        <v>5689</v>
      </c>
      <c r="AZ18" s="58">
        <v>1367</v>
      </c>
      <c r="BA18" s="58">
        <v>1356</v>
      </c>
      <c r="BB18" s="57">
        <v>6667</v>
      </c>
      <c r="BC18" s="59">
        <v>2489</v>
      </c>
      <c r="BD18" s="59">
        <v>2378</v>
      </c>
      <c r="BE18" s="60">
        <v>5699</v>
      </c>
      <c r="BF18" s="59">
        <v>2278</v>
      </c>
      <c r="BG18" s="96" t="s">
        <v>289</v>
      </c>
    </row>
    <row r="19" spans="1:59" ht="16" x14ac:dyDescent="0.3">
      <c r="A19" s="9" t="s">
        <v>118</v>
      </c>
      <c r="B19" s="10" t="s">
        <v>119</v>
      </c>
      <c r="C19" s="10" t="s">
        <v>120</v>
      </c>
      <c r="D19" s="10"/>
      <c r="E19" s="10" t="s">
        <v>121</v>
      </c>
      <c r="F19" s="10"/>
      <c r="G19" s="10">
        <v>1259</v>
      </c>
      <c r="H19" s="10">
        <v>1146</v>
      </c>
      <c r="I19" s="10"/>
      <c r="J19" s="10">
        <v>1888</v>
      </c>
      <c r="K19" s="10">
        <v>2389</v>
      </c>
      <c r="L19" s="10">
        <v>2259</v>
      </c>
      <c r="M19" s="10"/>
      <c r="N19" s="10"/>
      <c r="O19" s="10">
        <v>3579</v>
      </c>
      <c r="P19" s="10">
        <v>3389</v>
      </c>
      <c r="Q19" s="10"/>
      <c r="R19" s="10"/>
      <c r="S19" s="10"/>
      <c r="T19" s="10">
        <v>4566</v>
      </c>
      <c r="U19" s="10"/>
      <c r="V19" s="10"/>
      <c r="W19" s="10"/>
      <c r="X19" s="10">
        <v>5788</v>
      </c>
      <c r="Y19" s="10"/>
      <c r="Z19" s="10"/>
      <c r="AA19" s="10"/>
      <c r="AB19" s="10"/>
      <c r="AC19" s="10"/>
      <c r="AD19" s="10"/>
      <c r="AF19" s="102"/>
      <c r="AG19" s="9" t="s">
        <v>118</v>
      </c>
      <c r="AH19" s="10" t="s">
        <v>119</v>
      </c>
      <c r="AI19" s="10" t="s">
        <v>120</v>
      </c>
      <c r="AJ19" s="10">
        <v>1259</v>
      </c>
      <c r="AK19" s="10">
        <v>1146</v>
      </c>
      <c r="AL19" s="10">
        <v>2259</v>
      </c>
      <c r="AM19" s="10">
        <v>3579</v>
      </c>
      <c r="AN19" s="46">
        <v>3389</v>
      </c>
      <c r="AO19" s="108"/>
      <c r="AP19" s="77">
        <f t="shared" si="1"/>
        <v>0</v>
      </c>
      <c r="AQ19" s="77">
        <f t="shared" si="0"/>
        <v>1</v>
      </c>
      <c r="AR19" s="77">
        <f t="shared" si="0"/>
        <v>0</v>
      </c>
      <c r="AS19" s="77">
        <f t="shared" si="0"/>
        <v>0</v>
      </c>
      <c r="AT19" s="77">
        <f t="shared" si="0"/>
        <v>0</v>
      </c>
      <c r="AU19" s="77">
        <f t="shared" si="0"/>
        <v>0</v>
      </c>
      <c r="AV19" s="79">
        <f t="shared" si="0"/>
        <v>0</v>
      </c>
      <c r="AX19" s="135" t="s">
        <v>122</v>
      </c>
      <c r="AY19" s="58">
        <v>1679</v>
      </c>
      <c r="AZ19" s="58" t="s">
        <v>49</v>
      </c>
      <c r="BA19" s="58">
        <v>2356</v>
      </c>
      <c r="BB19" s="57">
        <v>2489</v>
      </c>
      <c r="BC19" s="59">
        <v>1347</v>
      </c>
      <c r="BD19" s="59" t="s">
        <v>215</v>
      </c>
      <c r="BE19" s="60" t="s">
        <v>103</v>
      </c>
      <c r="BF19" s="59">
        <v>7899</v>
      </c>
      <c r="BG19" s="96">
        <v>4567</v>
      </c>
    </row>
    <row r="20" spans="1:59" ht="16" x14ac:dyDescent="0.3">
      <c r="A20" s="9" t="s">
        <v>123</v>
      </c>
      <c r="B20" s="10" t="s">
        <v>124</v>
      </c>
      <c r="C20" s="10" t="s">
        <v>125</v>
      </c>
      <c r="D20" s="10"/>
      <c r="E20" s="10" t="s">
        <v>126</v>
      </c>
      <c r="F20" s="10"/>
      <c r="G20" s="10">
        <v>1267</v>
      </c>
      <c r="H20" s="10">
        <v>1147</v>
      </c>
      <c r="I20" s="10"/>
      <c r="J20" s="10">
        <v>1999</v>
      </c>
      <c r="K20" s="10">
        <v>2456</v>
      </c>
      <c r="L20" s="10">
        <v>2267</v>
      </c>
      <c r="M20" s="10"/>
      <c r="N20" s="10"/>
      <c r="O20" s="10">
        <v>3589</v>
      </c>
      <c r="P20" s="10">
        <v>3445</v>
      </c>
      <c r="Q20" s="10"/>
      <c r="R20" s="10"/>
      <c r="S20" s="10"/>
      <c r="T20" s="10">
        <v>4577</v>
      </c>
      <c r="U20" s="10"/>
      <c r="V20" s="10"/>
      <c r="W20" s="10"/>
      <c r="X20" s="10">
        <v>5799</v>
      </c>
      <c r="Y20" s="10"/>
      <c r="Z20" s="10"/>
      <c r="AA20" s="10"/>
      <c r="AB20" s="10"/>
      <c r="AC20" s="10"/>
      <c r="AD20" s="10"/>
      <c r="AF20" s="102"/>
      <c r="AG20" s="9" t="s">
        <v>123</v>
      </c>
      <c r="AH20" s="10" t="s">
        <v>124</v>
      </c>
      <c r="AI20" s="10" t="s">
        <v>125</v>
      </c>
      <c r="AJ20" s="10">
        <v>1267</v>
      </c>
      <c r="AK20" s="10">
        <v>1147</v>
      </c>
      <c r="AL20" s="10">
        <v>2267</v>
      </c>
      <c r="AM20" s="10">
        <v>3589</v>
      </c>
      <c r="AN20" s="46">
        <v>3445</v>
      </c>
      <c r="AO20" s="108"/>
      <c r="AP20" s="77">
        <f t="shared" si="1"/>
        <v>0</v>
      </c>
      <c r="AQ20" s="77">
        <f t="shared" si="0"/>
        <v>0</v>
      </c>
      <c r="AR20" s="77">
        <f t="shared" si="0"/>
        <v>0</v>
      </c>
      <c r="AS20" s="77">
        <f t="shared" si="0"/>
        <v>0</v>
      </c>
      <c r="AT20" s="77">
        <f t="shared" si="0"/>
        <v>0</v>
      </c>
      <c r="AU20" s="77">
        <f t="shared" si="0"/>
        <v>0</v>
      </c>
      <c r="AV20" s="79">
        <f t="shared" si="0"/>
        <v>1</v>
      </c>
      <c r="AX20" s="136"/>
      <c r="AY20" s="58">
        <v>5578</v>
      </c>
      <c r="AZ20" s="58">
        <v>1356</v>
      </c>
      <c r="BA20" s="58">
        <v>1355</v>
      </c>
      <c r="BB20" s="57">
        <v>5699</v>
      </c>
      <c r="BC20" s="59">
        <v>1457</v>
      </c>
      <c r="BD20" s="59">
        <v>3467</v>
      </c>
      <c r="BE20" s="60">
        <v>1137</v>
      </c>
      <c r="BF20" s="59">
        <v>4579</v>
      </c>
      <c r="BG20" s="96">
        <v>5779</v>
      </c>
    </row>
    <row r="21" spans="1:59" ht="16" x14ac:dyDescent="0.3">
      <c r="A21" s="9" t="s">
        <v>127</v>
      </c>
      <c r="B21" s="10" t="s">
        <v>128</v>
      </c>
      <c r="C21" s="10" t="s">
        <v>129</v>
      </c>
      <c r="D21" s="10"/>
      <c r="E21" s="10" t="s">
        <v>130</v>
      </c>
      <c r="F21" s="10"/>
      <c r="G21" s="10">
        <v>1268</v>
      </c>
      <c r="H21" s="10">
        <v>1148</v>
      </c>
      <c r="I21" s="10"/>
      <c r="J21" s="10"/>
      <c r="K21" s="10">
        <v>2457</v>
      </c>
      <c r="L21" s="10">
        <v>2268</v>
      </c>
      <c r="M21" s="10"/>
      <c r="N21" s="10"/>
      <c r="O21" s="10">
        <v>3678</v>
      </c>
      <c r="P21" s="10">
        <v>3446</v>
      </c>
      <c r="Q21" s="10"/>
      <c r="R21" s="10"/>
      <c r="S21" s="10"/>
      <c r="T21" s="10">
        <v>4588</v>
      </c>
      <c r="U21" s="10"/>
      <c r="V21" s="10"/>
      <c r="W21" s="10"/>
      <c r="X21" s="10">
        <v>5889</v>
      </c>
      <c r="Y21" s="10"/>
      <c r="Z21" s="10"/>
      <c r="AA21" s="10"/>
      <c r="AB21" s="10"/>
      <c r="AC21" s="10"/>
      <c r="AD21" s="10"/>
      <c r="AF21" s="102"/>
      <c r="AG21" s="9" t="s">
        <v>127</v>
      </c>
      <c r="AH21" s="10" t="s">
        <v>128</v>
      </c>
      <c r="AI21" s="10" t="s">
        <v>129</v>
      </c>
      <c r="AJ21" s="10">
        <v>1268</v>
      </c>
      <c r="AK21" s="10">
        <v>1148</v>
      </c>
      <c r="AL21" s="10">
        <v>2268</v>
      </c>
      <c r="AM21" s="10">
        <v>3678</v>
      </c>
      <c r="AN21" s="46">
        <v>3446</v>
      </c>
      <c r="AO21" s="108"/>
      <c r="AP21" s="77">
        <f t="shared" si="1"/>
        <v>0</v>
      </c>
      <c r="AQ21" s="77">
        <f t="shared" si="1"/>
        <v>0</v>
      </c>
      <c r="AR21" s="77">
        <f t="shared" si="1"/>
        <v>0</v>
      </c>
      <c r="AS21" s="77">
        <f t="shared" si="1"/>
        <v>0</v>
      </c>
      <c r="AT21" s="77">
        <f t="shared" si="1"/>
        <v>0</v>
      </c>
      <c r="AU21" s="77">
        <f t="shared" si="1"/>
        <v>0</v>
      </c>
      <c r="AV21" s="79">
        <f t="shared" si="1"/>
        <v>0</v>
      </c>
      <c r="AX21" s="136"/>
      <c r="AY21" s="58">
        <v>1344</v>
      </c>
      <c r="AZ21" s="58" t="s">
        <v>94</v>
      </c>
      <c r="BA21" s="58" t="s">
        <v>106</v>
      </c>
      <c r="BB21" s="57">
        <v>1356</v>
      </c>
      <c r="BC21" s="59">
        <v>1679</v>
      </c>
      <c r="BD21" s="59">
        <v>4469</v>
      </c>
      <c r="BE21" s="60">
        <v>3679</v>
      </c>
      <c r="BF21" s="59">
        <v>1578</v>
      </c>
      <c r="BG21" s="96">
        <v>2458</v>
      </c>
    </row>
    <row r="22" spans="1:59" ht="16" x14ac:dyDescent="0.3">
      <c r="A22" s="9" t="s">
        <v>131</v>
      </c>
      <c r="B22" s="10" t="s">
        <v>132</v>
      </c>
      <c r="C22" s="10" t="s">
        <v>133</v>
      </c>
      <c r="D22" s="10"/>
      <c r="E22" s="10" t="s">
        <v>134</v>
      </c>
      <c r="F22" s="10"/>
      <c r="G22" s="10">
        <v>1269</v>
      </c>
      <c r="H22" s="10">
        <v>1149</v>
      </c>
      <c r="I22" s="10"/>
      <c r="J22" s="10"/>
      <c r="K22" s="10">
        <v>2458</v>
      </c>
      <c r="L22" s="10">
        <v>2269</v>
      </c>
      <c r="M22" s="10"/>
      <c r="N22" s="10"/>
      <c r="O22" s="10">
        <v>3679</v>
      </c>
      <c r="P22" s="10">
        <v>3447</v>
      </c>
      <c r="Q22" s="10"/>
      <c r="R22" s="10"/>
      <c r="S22" s="10"/>
      <c r="T22" s="10">
        <v>4599</v>
      </c>
      <c r="U22" s="10"/>
      <c r="V22" s="10"/>
      <c r="W22" s="10"/>
      <c r="X22" s="10">
        <v>5899</v>
      </c>
      <c r="Y22" s="10"/>
      <c r="Z22" s="10"/>
      <c r="AA22" s="10"/>
      <c r="AB22" s="10"/>
      <c r="AC22" s="10"/>
      <c r="AD22" s="10"/>
      <c r="AF22" s="102"/>
      <c r="AG22" s="9" t="s">
        <v>131</v>
      </c>
      <c r="AH22" s="10" t="s">
        <v>132</v>
      </c>
      <c r="AI22" s="10" t="s">
        <v>133</v>
      </c>
      <c r="AJ22" s="10">
        <v>1269</v>
      </c>
      <c r="AK22" s="10">
        <v>1149</v>
      </c>
      <c r="AL22" s="10">
        <v>2269</v>
      </c>
      <c r="AM22" s="10">
        <v>3679</v>
      </c>
      <c r="AN22" s="46">
        <v>3447</v>
      </c>
      <c r="AO22" s="108"/>
      <c r="AP22" s="77">
        <f t="shared" ref="AP22:AV58" si="3">COUNTIF($AZ$6:$FT$28,AH22)</f>
        <v>0</v>
      </c>
      <c r="AQ22" s="77">
        <f t="shared" si="3"/>
        <v>0</v>
      </c>
      <c r="AR22" s="77">
        <f t="shared" si="3"/>
        <v>0</v>
      </c>
      <c r="AS22" s="77">
        <f t="shared" si="3"/>
        <v>0</v>
      </c>
      <c r="AT22" s="77">
        <f t="shared" si="3"/>
        <v>0</v>
      </c>
      <c r="AU22" s="77">
        <f t="shared" si="3"/>
        <v>4</v>
      </c>
      <c r="AV22" s="79">
        <f t="shared" si="3"/>
        <v>0</v>
      </c>
      <c r="AX22" s="136"/>
      <c r="AY22" s="58">
        <v>1457</v>
      </c>
      <c r="AZ22" s="58" t="s">
        <v>135</v>
      </c>
      <c r="BA22" s="58">
        <v>3599</v>
      </c>
      <c r="BB22" s="57">
        <v>1347</v>
      </c>
      <c r="BC22" s="59">
        <v>3568</v>
      </c>
      <c r="BD22" s="59" t="s">
        <v>88</v>
      </c>
      <c r="BE22" s="60">
        <v>1344</v>
      </c>
      <c r="BF22" s="59">
        <v>1577</v>
      </c>
      <c r="BG22" s="96" t="s">
        <v>71</v>
      </c>
    </row>
    <row r="23" spans="1:59" ht="16" x14ac:dyDescent="0.3">
      <c r="A23" s="9" t="s">
        <v>136</v>
      </c>
      <c r="B23" s="10" t="s">
        <v>137</v>
      </c>
      <c r="C23" s="10" t="s">
        <v>138</v>
      </c>
      <c r="D23" s="10"/>
      <c r="E23" s="10">
        <v>7778</v>
      </c>
      <c r="F23" s="10"/>
      <c r="G23" s="10">
        <v>1278</v>
      </c>
      <c r="H23" s="10">
        <v>1156</v>
      </c>
      <c r="I23" s="10"/>
      <c r="J23" s="10"/>
      <c r="K23" s="10">
        <v>2459</v>
      </c>
      <c r="L23" s="10">
        <v>2278</v>
      </c>
      <c r="M23" s="10"/>
      <c r="N23" s="10"/>
      <c r="O23" s="10">
        <v>3689</v>
      </c>
      <c r="P23" s="10">
        <v>3448</v>
      </c>
      <c r="Q23" s="10"/>
      <c r="R23" s="10"/>
      <c r="S23" s="10"/>
      <c r="T23" s="10">
        <v>4667</v>
      </c>
      <c r="U23" s="10"/>
      <c r="V23" s="10"/>
      <c r="W23" s="10"/>
      <c r="X23" s="10"/>
      <c r="Y23" s="10"/>
      <c r="Z23" s="10"/>
      <c r="AA23" s="10"/>
      <c r="AB23" s="10"/>
      <c r="AC23" s="10"/>
      <c r="AD23" s="10"/>
      <c r="AF23" s="102"/>
      <c r="AG23" s="9" t="s">
        <v>136</v>
      </c>
      <c r="AH23" s="10" t="s">
        <v>137</v>
      </c>
      <c r="AI23" s="10" t="s">
        <v>138</v>
      </c>
      <c r="AJ23" s="10">
        <v>1278</v>
      </c>
      <c r="AK23" s="10">
        <v>1156</v>
      </c>
      <c r="AL23" s="10">
        <v>2278</v>
      </c>
      <c r="AM23" s="10">
        <v>3689</v>
      </c>
      <c r="AN23" s="46">
        <v>3448</v>
      </c>
      <c r="AO23" s="108"/>
      <c r="AP23" s="77">
        <f t="shared" si="3"/>
        <v>0</v>
      </c>
      <c r="AQ23" s="77">
        <f t="shared" si="3"/>
        <v>0</v>
      </c>
      <c r="AR23" s="77">
        <f t="shared" si="3"/>
        <v>0</v>
      </c>
      <c r="AS23" s="77">
        <f t="shared" si="3"/>
        <v>0</v>
      </c>
      <c r="AT23" s="77">
        <f t="shared" si="3"/>
        <v>1</v>
      </c>
      <c r="AU23" s="77">
        <f t="shared" si="3"/>
        <v>0</v>
      </c>
      <c r="AV23" s="79">
        <f t="shared" si="3"/>
        <v>0</v>
      </c>
      <c r="AX23" s="136"/>
      <c r="AY23" s="58">
        <v>3568</v>
      </c>
      <c r="AZ23" s="58" t="s">
        <v>95</v>
      </c>
      <c r="BA23" s="58" t="s">
        <v>139</v>
      </c>
      <c r="BB23" s="57">
        <v>1679</v>
      </c>
      <c r="BC23" s="59">
        <v>5699</v>
      </c>
      <c r="BD23" s="59" t="s">
        <v>135</v>
      </c>
      <c r="BE23" s="60" t="s">
        <v>49</v>
      </c>
      <c r="BF23" s="59" t="s">
        <v>248</v>
      </c>
      <c r="BG23" s="96">
        <v>5668</v>
      </c>
    </row>
    <row r="24" spans="1:59" ht="16" x14ac:dyDescent="0.3">
      <c r="A24" s="9" t="s">
        <v>140</v>
      </c>
      <c r="B24" s="10" t="s">
        <v>141</v>
      </c>
      <c r="C24" s="10" t="s">
        <v>142</v>
      </c>
      <c r="D24" s="10"/>
      <c r="E24" s="10">
        <v>7779</v>
      </c>
      <c r="F24" s="10"/>
      <c r="G24" s="10">
        <v>1279</v>
      </c>
      <c r="H24" s="10">
        <v>1157</v>
      </c>
      <c r="I24" s="10"/>
      <c r="J24" s="10"/>
      <c r="K24" s="10">
        <v>2467</v>
      </c>
      <c r="L24" s="10">
        <v>2279</v>
      </c>
      <c r="M24" s="10"/>
      <c r="N24" s="10"/>
      <c r="O24" s="10">
        <v>3789</v>
      </c>
      <c r="P24" s="10">
        <v>3449</v>
      </c>
      <c r="Q24" s="10"/>
      <c r="R24" s="10"/>
      <c r="S24" s="10"/>
      <c r="T24" s="10">
        <v>4668</v>
      </c>
      <c r="U24" s="10"/>
      <c r="V24" s="10"/>
      <c r="W24" s="10"/>
      <c r="X24" s="10"/>
      <c r="Y24" s="10"/>
      <c r="Z24" s="10"/>
      <c r="AA24" s="10"/>
      <c r="AB24" s="10"/>
      <c r="AC24" s="10"/>
      <c r="AD24" s="10"/>
      <c r="AF24" s="102"/>
      <c r="AG24" s="9" t="s">
        <v>140</v>
      </c>
      <c r="AH24" s="10" t="s">
        <v>141</v>
      </c>
      <c r="AI24" s="10" t="s">
        <v>142</v>
      </c>
      <c r="AJ24" s="10">
        <v>1279</v>
      </c>
      <c r="AK24" s="10">
        <v>1157</v>
      </c>
      <c r="AL24" s="10">
        <v>2279</v>
      </c>
      <c r="AM24" s="10">
        <v>3789</v>
      </c>
      <c r="AN24" s="46">
        <v>3449</v>
      </c>
      <c r="AO24" s="108"/>
      <c r="AP24" s="77">
        <f t="shared" si="3"/>
        <v>0</v>
      </c>
      <c r="AQ24" s="77">
        <f t="shared" si="3"/>
        <v>0</v>
      </c>
      <c r="AR24" s="77">
        <f t="shared" si="3"/>
        <v>0</v>
      </c>
      <c r="AS24" s="77">
        <f t="shared" si="3"/>
        <v>0</v>
      </c>
      <c r="AT24" s="77">
        <f t="shared" si="3"/>
        <v>0</v>
      </c>
      <c r="AU24" s="77">
        <f t="shared" si="3"/>
        <v>0</v>
      </c>
      <c r="AV24" s="79">
        <f t="shared" si="3"/>
        <v>0</v>
      </c>
      <c r="AX24" s="136"/>
      <c r="AY24" s="58">
        <v>1137</v>
      </c>
      <c r="AZ24" s="58">
        <v>1589</v>
      </c>
      <c r="BA24" s="58" t="s">
        <v>143</v>
      </c>
      <c r="BB24" s="57">
        <v>1457</v>
      </c>
      <c r="BC24" s="59" t="s">
        <v>96</v>
      </c>
      <c r="BD24" s="59">
        <v>2356</v>
      </c>
      <c r="BE24" s="60">
        <v>1335</v>
      </c>
      <c r="BF24" s="59">
        <v>4679</v>
      </c>
      <c r="BG24" s="96">
        <v>5579</v>
      </c>
    </row>
    <row r="25" spans="1:59" ht="16" x14ac:dyDescent="0.3">
      <c r="A25" s="9" t="s">
        <v>144</v>
      </c>
      <c r="B25" s="10" t="s">
        <v>145</v>
      </c>
      <c r="C25" s="10" t="s">
        <v>139</v>
      </c>
      <c r="D25" s="10"/>
      <c r="E25" s="10">
        <v>7888</v>
      </c>
      <c r="F25" s="10"/>
      <c r="G25" s="10">
        <v>1289</v>
      </c>
      <c r="H25" s="10">
        <v>1158</v>
      </c>
      <c r="I25" s="10"/>
      <c r="J25" s="10"/>
      <c r="K25" s="10">
        <v>2468</v>
      </c>
      <c r="L25" s="10">
        <v>2289</v>
      </c>
      <c r="M25" s="10"/>
      <c r="N25" s="10"/>
      <c r="O25" s="10"/>
      <c r="P25" s="10">
        <v>3466</v>
      </c>
      <c r="Q25" s="10"/>
      <c r="R25" s="10"/>
      <c r="S25" s="10"/>
      <c r="T25" s="10">
        <v>4669</v>
      </c>
      <c r="U25" s="10"/>
      <c r="V25" s="10"/>
      <c r="W25" s="10"/>
      <c r="X25" s="10"/>
      <c r="Y25" s="10"/>
      <c r="Z25" s="10"/>
      <c r="AA25" s="10"/>
      <c r="AB25" s="10"/>
      <c r="AC25" s="10"/>
      <c r="AD25" s="10"/>
      <c r="AF25" s="102"/>
      <c r="AG25" s="9" t="s">
        <v>144</v>
      </c>
      <c r="AH25" s="10" t="s">
        <v>145</v>
      </c>
      <c r="AI25" s="10" t="s">
        <v>139</v>
      </c>
      <c r="AJ25" s="10">
        <v>1289</v>
      </c>
      <c r="AK25" s="10">
        <v>1158</v>
      </c>
      <c r="AL25" s="10">
        <v>2289</v>
      </c>
      <c r="AM25" s="10">
        <v>4567</v>
      </c>
      <c r="AN25" s="46">
        <v>3466</v>
      </c>
      <c r="AO25" s="108"/>
      <c r="AP25" s="77">
        <f t="shared" si="3"/>
        <v>0</v>
      </c>
      <c r="AQ25" s="77">
        <f t="shared" si="3"/>
        <v>1</v>
      </c>
      <c r="AR25" s="77">
        <f t="shared" si="3"/>
        <v>0</v>
      </c>
      <c r="AS25" s="77">
        <f t="shared" si="3"/>
        <v>0</v>
      </c>
      <c r="AT25" s="77">
        <f t="shared" si="3"/>
        <v>0</v>
      </c>
      <c r="AU25" s="77">
        <f t="shared" si="3"/>
        <v>3</v>
      </c>
      <c r="AV25" s="79">
        <f t="shared" si="3"/>
        <v>0</v>
      </c>
      <c r="AX25" s="136"/>
      <c r="AY25" s="58">
        <v>1335</v>
      </c>
      <c r="AZ25" s="58">
        <v>1335</v>
      </c>
      <c r="BA25" s="58">
        <v>1456</v>
      </c>
      <c r="BB25" s="57">
        <v>3568</v>
      </c>
      <c r="BC25" s="59">
        <v>1248</v>
      </c>
      <c r="BD25" s="59">
        <v>2355</v>
      </c>
      <c r="BE25" s="60">
        <v>2448</v>
      </c>
      <c r="BF25" s="59">
        <v>4568</v>
      </c>
      <c r="BG25" s="96">
        <v>3445</v>
      </c>
    </row>
    <row r="26" spans="1:59" ht="16" x14ac:dyDescent="0.3">
      <c r="A26" s="9" t="s">
        <v>146</v>
      </c>
      <c r="B26" s="10" t="s">
        <v>147</v>
      </c>
      <c r="C26" s="10" t="s">
        <v>148</v>
      </c>
      <c r="D26" s="10"/>
      <c r="E26" s="10">
        <v>7999</v>
      </c>
      <c r="F26" s="10"/>
      <c r="G26" s="10">
        <v>1345</v>
      </c>
      <c r="H26" s="10">
        <v>1159</v>
      </c>
      <c r="I26" s="10"/>
      <c r="J26" s="10"/>
      <c r="K26" s="10">
        <v>2469</v>
      </c>
      <c r="L26" s="10">
        <v>2334</v>
      </c>
      <c r="M26" s="10"/>
      <c r="N26" s="10"/>
      <c r="O26" s="10"/>
      <c r="P26" s="10">
        <v>3477</v>
      </c>
      <c r="Q26" s="10"/>
      <c r="R26" s="10"/>
      <c r="S26" s="10"/>
      <c r="T26" s="10">
        <v>4677</v>
      </c>
      <c r="U26" s="10"/>
      <c r="V26" s="10"/>
      <c r="W26" s="10"/>
      <c r="X26" s="10"/>
      <c r="Y26" s="10"/>
      <c r="Z26" s="10"/>
      <c r="AA26" s="10"/>
      <c r="AB26" s="10"/>
      <c r="AC26" s="10"/>
      <c r="AD26" s="10"/>
      <c r="AF26" s="102"/>
      <c r="AG26" s="9" t="s">
        <v>146</v>
      </c>
      <c r="AH26" s="10" t="s">
        <v>147</v>
      </c>
      <c r="AI26" s="10" t="s">
        <v>148</v>
      </c>
      <c r="AJ26" s="10">
        <v>1345</v>
      </c>
      <c r="AK26" s="10">
        <v>1159</v>
      </c>
      <c r="AL26" s="10">
        <v>2334</v>
      </c>
      <c r="AM26" s="10">
        <v>4568</v>
      </c>
      <c r="AN26" s="46">
        <v>3477</v>
      </c>
      <c r="AO26" s="108"/>
      <c r="AP26" s="77">
        <f t="shared" si="3"/>
        <v>0</v>
      </c>
      <c r="AQ26" s="77">
        <f t="shared" si="3"/>
        <v>0</v>
      </c>
      <c r="AR26" s="77">
        <f t="shared" si="3"/>
        <v>0</v>
      </c>
      <c r="AS26" s="77">
        <f t="shared" si="3"/>
        <v>0</v>
      </c>
      <c r="AT26" s="77">
        <f t="shared" si="3"/>
        <v>0</v>
      </c>
      <c r="AU26" s="77">
        <f t="shared" si="3"/>
        <v>1</v>
      </c>
      <c r="AV26" s="79">
        <f t="shared" si="3"/>
        <v>0</v>
      </c>
      <c r="AX26" s="136"/>
      <c r="AY26" s="58" t="s">
        <v>149</v>
      </c>
      <c r="AZ26" s="58">
        <v>1246</v>
      </c>
      <c r="BA26" s="58">
        <v>2448</v>
      </c>
      <c r="BB26" s="57">
        <v>1335</v>
      </c>
      <c r="BC26" s="59">
        <v>1355</v>
      </c>
      <c r="BD26" s="59" t="s">
        <v>314</v>
      </c>
      <c r="BE26" s="60">
        <v>2356</v>
      </c>
      <c r="BF26" s="59">
        <v>6666</v>
      </c>
      <c r="BG26" s="96">
        <v>1455</v>
      </c>
    </row>
    <row r="27" spans="1:59" ht="16" x14ac:dyDescent="0.3">
      <c r="A27" s="9" t="s">
        <v>150</v>
      </c>
      <c r="B27" s="10" t="s">
        <v>151</v>
      </c>
      <c r="C27" s="10" t="s">
        <v>152</v>
      </c>
      <c r="D27" s="10"/>
      <c r="E27" s="10">
        <v>8889</v>
      </c>
      <c r="F27" s="10"/>
      <c r="G27" s="10">
        <v>1346</v>
      </c>
      <c r="H27" s="10">
        <v>1167</v>
      </c>
      <c r="I27" s="10"/>
      <c r="J27" s="10"/>
      <c r="K27" s="10">
        <v>2478</v>
      </c>
      <c r="L27" s="10">
        <v>2335</v>
      </c>
      <c r="M27" s="10"/>
      <c r="N27" s="10"/>
      <c r="O27" s="10"/>
      <c r="P27" s="10">
        <v>3488</v>
      </c>
      <c r="Q27" s="10"/>
      <c r="R27" s="10"/>
      <c r="S27" s="10"/>
      <c r="T27" s="10">
        <v>4688</v>
      </c>
      <c r="U27" s="10"/>
      <c r="V27" s="10"/>
      <c r="W27" s="10"/>
      <c r="X27" s="10"/>
      <c r="Y27" s="10"/>
      <c r="Z27" s="10"/>
      <c r="AA27" s="10"/>
      <c r="AB27" s="10"/>
      <c r="AC27" s="10"/>
      <c r="AD27" s="10"/>
      <c r="AF27" s="102"/>
      <c r="AG27" s="9" t="s">
        <v>150</v>
      </c>
      <c r="AH27" s="10" t="s">
        <v>151</v>
      </c>
      <c r="AI27" s="10" t="s">
        <v>152</v>
      </c>
      <c r="AJ27" s="10">
        <v>1346</v>
      </c>
      <c r="AK27" s="10">
        <v>1167</v>
      </c>
      <c r="AL27" s="10">
        <v>2335</v>
      </c>
      <c r="AM27" s="10">
        <v>4569</v>
      </c>
      <c r="AN27" s="46">
        <v>3488</v>
      </c>
      <c r="AO27" s="108"/>
      <c r="AP27" s="77">
        <f t="shared" si="3"/>
        <v>0</v>
      </c>
      <c r="AQ27" s="77">
        <f t="shared" si="3"/>
        <v>0</v>
      </c>
      <c r="AR27" s="77">
        <f t="shared" si="3"/>
        <v>0</v>
      </c>
      <c r="AS27" s="77">
        <f t="shared" si="3"/>
        <v>0</v>
      </c>
      <c r="AT27" s="77">
        <f t="shared" si="3"/>
        <v>0</v>
      </c>
      <c r="AU27" s="77">
        <f t="shared" si="3"/>
        <v>0</v>
      </c>
      <c r="AV27" s="79">
        <f t="shared" si="3"/>
        <v>0</v>
      </c>
      <c r="AX27" s="136"/>
      <c r="AY27" s="58">
        <v>1148</v>
      </c>
      <c r="AZ27" s="58" t="s">
        <v>153</v>
      </c>
      <c r="BA27" s="58">
        <v>3668</v>
      </c>
      <c r="BB27" s="57">
        <v>2448</v>
      </c>
      <c r="BC27" s="59">
        <v>1388</v>
      </c>
      <c r="BD27" s="59">
        <v>1378</v>
      </c>
      <c r="BE27" s="60">
        <v>5588</v>
      </c>
      <c r="BF27" s="59">
        <v>1258</v>
      </c>
      <c r="BG27" s="96">
        <v>5667</v>
      </c>
    </row>
    <row r="28" spans="1:59" ht="16.5" thickBot="1" x14ac:dyDescent="0.35">
      <c r="A28" s="9" t="s">
        <v>154</v>
      </c>
      <c r="B28" s="10" t="s">
        <v>155</v>
      </c>
      <c r="C28" s="10" t="s">
        <v>156</v>
      </c>
      <c r="D28" s="10"/>
      <c r="E28" s="10">
        <v>8999</v>
      </c>
      <c r="F28" s="10"/>
      <c r="G28" s="10">
        <v>1347</v>
      </c>
      <c r="H28" s="10">
        <v>1168</v>
      </c>
      <c r="I28" s="10"/>
      <c r="J28" s="10"/>
      <c r="K28" s="10">
        <v>2479</v>
      </c>
      <c r="L28" s="10">
        <v>2336</v>
      </c>
      <c r="M28" s="10"/>
      <c r="N28" s="10"/>
      <c r="O28" s="10"/>
      <c r="P28" s="10">
        <v>3499</v>
      </c>
      <c r="Q28" s="10"/>
      <c r="R28" s="10"/>
      <c r="S28" s="10"/>
      <c r="T28" s="10">
        <v>4699</v>
      </c>
      <c r="U28" s="10"/>
      <c r="V28" s="10"/>
      <c r="W28" s="10"/>
      <c r="X28" s="10"/>
      <c r="Y28" s="10"/>
      <c r="Z28" s="10"/>
      <c r="AA28" s="10"/>
      <c r="AB28" s="10"/>
      <c r="AC28" s="10"/>
      <c r="AD28" s="10"/>
      <c r="AF28" s="103"/>
      <c r="AG28" s="41" t="s">
        <v>154</v>
      </c>
      <c r="AH28" s="42" t="s">
        <v>155</v>
      </c>
      <c r="AI28" s="42" t="s">
        <v>156</v>
      </c>
      <c r="AJ28" s="42">
        <v>1347</v>
      </c>
      <c r="AK28" s="42">
        <v>1168</v>
      </c>
      <c r="AL28" s="42">
        <v>2336</v>
      </c>
      <c r="AM28" s="42">
        <v>4578</v>
      </c>
      <c r="AN28" s="47">
        <v>3499</v>
      </c>
      <c r="AO28" s="109"/>
      <c r="AP28" s="80">
        <f t="shared" si="3"/>
        <v>0</v>
      </c>
      <c r="AQ28" s="80">
        <f t="shared" si="3"/>
        <v>0</v>
      </c>
      <c r="AR28" s="80">
        <f t="shared" si="3"/>
        <v>3</v>
      </c>
      <c r="AS28" s="80">
        <f t="shared" si="3"/>
        <v>0</v>
      </c>
      <c r="AT28" s="80">
        <f t="shared" si="3"/>
        <v>0</v>
      </c>
      <c r="AU28" s="80">
        <f t="shared" si="3"/>
        <v>2</v>
      </c>
      <c r="AV28" s="81">
        <f t="shared" si="3"/>
        <v>0</v>
      </c>
      <c r="AX28" s="137"/>
      <c r="AY28" s="58">
        <v>1277</v>
      </c>
      <c r="AZ28" s="58">
        <v>2678</v>
      </c>
      <c r="BA28" s="58" t="s">
        <v>103</v>
      </c>
      <c r="BB28" s="57" t="s">
        <v>103</v>
      </c>
      <c r="BC28" s="59">
        <v>1456</v>
      </c>
      <c r="BD28" s="59">
        <v>3358</v>
      </c>
      <c r="BE28" s="60">
        <v>4567</v>
      </c>
      <c r="BF28" s="59" t="s">
        <v>120</v>
      </c>
      <c r="BG28" s="96">
        <v>1557</v>
      </c>
    </row>
    <row r="29" spans="1:59" ht="14.5" x14ac:dyDescent="0.3">
      <c r="A29" s="9" t="s">
        <v>157</v>
      </c>
      <c r="B29" s="10" t="s">
        <v>158</v>
      </c>
      <c r="C29" s="10" t="s">
        <v>159</v>
      </c>
      <c r="D29" s="10"/>
      <c r="E29" s="10"/>
      <c r="F29" s="10"/>
      <c r="G29" s="10">
        <v>1348</v>
      </c>
      <c r="H29" s="10">
        <v>1169</v>
      </c>
      <c r="I29" s="10"/>
      <c r="J29" s="10"/>
      <c r="K29" s="10">
        <v>2489</v>
      </c>
      <c r="L29" s="10">
        <v>2337</v>
      </c>
      <c r="M29" s="10"/>
      <c r="N29" s="10"/>
      <c r="O29" s="10"/>
      <c r="P29" s="10">
        <v>3556</v>
      </c>
      <c r="Q29" s="10"/>
      <c r="R29" s="10"/>
      <c r="S29" s="10"/>
      <c r="T29" s="10">
        <v>4778</v>
      </c>
      <c r="U29" s="10"/>
      <c r="V29" s="10"/>
      <c r="W29" s="10"/>
      <c r="X29" s="10"/>
      <c r="Y29" s="10"/>
      <c r="Z29" s="10"/>
      <c r="AA29" s="10"/>
      <c r="AB29" s="10"/>
      <c r="AC29" s="10"/>
      <c r="AD29" s="10"/>
      <c r="AF29" s="101" t="s">
        <v>436</v>
      </c>
      <c r="AG29" s="39" t="s">
        <v>157</v>
      </c>
      <c r="AH29" s="40" t="s">
        <v>158</v>
      </c>
      <c r="AI29" s="40" t="s">
        <v>159</v>
      </c>
      <c r="AJ29" s="40">
        <v>1348</v>
      </c>
      <c r="AK29" s="40">
        <v>1169</v>
      </c>
      <c r="AL29" s="40">
        <v>2337</v>
      </c>
      <c r="AM29" s="40">
        <v>4579</v>
      </c>
      <c r="AN29" s="48">
        <v>3556</v>
      </c>
      <c r="AO29" s="107">
        <f t="shared" ref="AO29" si="4">SUM(AP29:AV40)</f>
        <v>26</v>
      </c>
      <c r="AP29" s="75">
        <f t="shared" si="3"/>
        <v>0</v>
      </c>
      <c r="AQ29" s="75">
        <f t="shared" si="3"/>
        <v>0</v>
      </c>
      <c r="AR29" s="75">
        <f t="shared" si="3"/>
        <v>0</v>
      </c>
      <c r="AS29" s="75">
        <f t="shared" si="3"/>
        <v>0</v>
      </c>
      <c r="AT29" s="75">
        <f t="shared" si="3"/>
        <v>1</v>
      </c>
      <c r="AU29" s="75">
        <f t="shared" si="3"/>
        <v>1</v>
      </c>
      <c r="AV29" s="76">
        <f t="shared" si="3"/>
        <v>0</v>
      </c>
      <c r="BB29" s="61" t="s">
        <v>160</v>
      </c>
      <c r="BD29" s="61" t="s">
        <v>430</v>
      </c>
      <c r="BF29" s="61" t="s">
        <v>160</v>
      </c>
    </row>
    <row r="30" spans="1:59" ht="14.5" x14ac:dyDescent="0.3">
      <c r="A30" s="9" t="s">
        <v>161</v>
      </c>
      <c r="B30" s="10" t="s">
        <v>162</v>
      </c>
      <c r="C30" s="10" t="s">
        <v>163</v>
      </c>
      <c r="D30" s="10"/>
      <c r="E30" s="10"/>
      <c r="F30" s="10"/>
      <c r="G30" s="10">
        <v>1349</v>
      </c>
      <c r="H30" s="10">
        <v>1178</v>
      </c>
      <c r="I30" s="10"/>
      <c r="J30" s="10"/>
      <c r="K30" s="10">
        <v>2567</v>
      </c>
      <c r="L30" s="10">
        <v>2338</v>
      </c>
      <c r="M30" s="10"/>
      <c r="N30" s="10"/>
      <c r="O30" s="10"/>
      <c r="P30" s="10">
        <v>3557</v>
      </c>
      <c r="Q30" s="10"/>
      <c r="R30" s="10"/>
      <c r="S30" s="10"/>
      <c r="T30" s="10">
        <v>4779</v>
      </c>
      <c r="U30" s="10"/>
      <c r="V30" s="10"/>
      <c r="W30" s="10"/>
      <c r="X30" s="10"/>
      <c r="Y30" s="10"/>
      <c r="Z30" s="10"/>
      <c r="AA30" s="10"/>
      <c r="AB30" s="10"/>
      <c r="AC30" s="10"/>
      <c r="AD30" s="10"/>
      <c r="AF30" s="102"/>
      <c r="AG30" s="9" t="s">
        <v>161</v>
      </c>
      <c r="AH30" s="10" t="s">
        <v>162</v>
      </c>
      <c r="AI30" s="10" t="s">
        <v>163</v>
      </c>
      <c r="AJ30" s="10">
        <v>1349</v>
      </c>
      <c r="AK30" s="10">
        <v>1178</v>
      </c>
      <c r="AL30" s="10">
        <v>2338</v>
      </c>
      <c r="AM30" s="10">
        <v>4589</v>
      </c>
      <c r="AN30" s="46">
        <v>3557</v>
      </c>
      <c r="AO30" s="108"/>
      <c r="AP30" s="77">
        <f t="shared" si="3"/>
        <v>0</v>
      </c>
      <c r="AQ30" s="77">
        <f t="shared" si="3"/>
        <v>0</v>
      </c>
      <c r="AR30" s="77">
        <f t="shared" si="3"/>
        <v>0</v>
      </c>
      <c r="AS30" s="77">
        <f t="shared" si="3"/>
        <v>0</v>
      </c>
      <c r="AT30" s="77">
        <f t="shared" si="3"/>
        <v>0</v>
      </c>
      <c r="AU30" s="77">
        <f t="shared" si="3"/>
        <v>1</v>
      </c>
      <c r="AV30" s="79">
        <f t="shared" si="3"/>
        <v>0</v>
      </c>
    </row>
    <row r="31" spans="1:59" ht="14.5" x14ac:dyDescent="0.3">
      <c r="A31" s="9" t="s">
        <v>164</v>
      </c>
      <c r="B31" s="10" t="s">
        <v>153</v>
      </c>
      <c r="C31" s="10" t="s">
        <v>165</v>
      </c>
      <c r="D31" s="10"/>
      <c r="E31" s="10"/>
      <c r="F31" s="10"/>
      <c r="G31" s="10">
        <v>1356</v>
      </c>
      <c r="H31" s="10">
        <v>1179</v>
      </c>
      <c r="I31" s="10"/>
      <c r="J31" s="10"/>
      <c r="K31" s="10">
        <v>2568</v>
      </c>
      <c r="L31" s="10">
        <v>2339</v>
      </c>
      <c r="M31" s="10"/>
      <c r="N31" s="10"/>
      <c r="O31" s="10"/>
      <c r="P31" s="10">
        <v>3558</v>
      </c>
      <c r="Q31" s="10"/>
      <c r="R31" s="10"/>
      <c r="S31" s="10"/>
      <c r="T31" s="10">
        <v>4788</v>
      </c>
      <c r="U31" s="10"/>
      <c r="V31" s="10"/>
      <c r="W31" s="10"/>
      <c r="X31" s="10"/>
      <c r="Y31" s="10"/>
      <c r="Z31" s="10"/>
      <c r="AA31" s="10"/>
      <c r="AB31" s="10"/>
      <c r="AC31" s="10"/>
      <c r="AD31" s="10"/>
      <c r="AF31" s="102"/>
      <c r="AG31" s="9" t="s">
        <v>164</v>
      </c>
      <c r="AH31" s="10" t="s">
        <v>153</v>
      </c>
      <c r="AI31" s="10" t="s">
        <v>165</v>
      </c>
      <c r="AJ31" s="10">
        <v>1356</v>
      </c>
      <c r="AK31" s="10">
        <v>1179</v>
      </c>
      <c r="AL31" s="10">
        <v>2339</v>
      </c>
      <c r="AM31" s="10">
        <v>4678</v>
      </c>
      <c r="AN31" s="46">
        <v>3558</v>
      </c>
      <c r="AO31" s="108"/>
      <c r="AP31" s="77">
        <f t="shared" si="3"/>
        <v>1</v>
      </c>
      <c r="AQ31" s="77">
        <f t="shared" si="3"/>
        <v>0</v>
      </c>
      <c r="AR31" s="77">
        <f t="shared" si="3"/>
        <v>5</v>
      </c>
      <c r="AS31" s="77">
        <f t="shared" si="3"/>
        <v>0</v>
      </c>
      <c r="AT31" s="77">
        <f t="shared" si="3"/>
        <v>0</v>
      </c>
      <c r="AU31" s="77">
        <f t="shared" si="3"/>
        <v>1</v>
      </c>
      <c r="AV31" s="79">
        <f t="shared" si="3"/>
        <v>0</v>
      </c>
      <c r="AY31" s="62" t="s">
        <v>31</v>
      </c>
      <c r="AZ31" s="63" t="s">
        <v>166</v>
      </c>
      <c r="BA31" s="52"/>
      <c r="BB31" s="52"/>
    </row>
    <row r="32" spans="1:59" ht="14.5" x14ac:dyDescent="0.3">
      <c r="A32" s="9" t="s">
        <v>167</v>
      </c>
      <c r="B32" s="10" t="s">
        <v>168</v>
      </c>
      <c r="C32" s="10" t="s">
        <v>169</v>
      </c>
      <c r="D32" s="10"/>
      <c r="E32" s="10"/>
      <c r="F32" s="10"/>
      <c r="G32" s="10">
        <v>1357</v>
      </c>
      <c r="H32" s="10">
        <v>1189</v>
      </c>
      <c r="I32" s="10"/>
      <c r="J32" s="10"/>
      <c r="K32" s="10">
        <v>2569</v>
      </c>
      <c r="L32" s="10">
        <v>2344</v>
      </c>
      <c r="M32" s="10"/>
      <c r="N32" s="10"/>
      <c r="O32" s="10"/>
      <c r="P32" s="10">
        <v>3559</v>
      </c>
      <c r="Q32" s="10"/>
      <c r="R32" s="10"/>
      <c r="S32" s="10"/>
      <c r="T32" s="10">
        <v>4799</v>
      </c>
      <c r="U32" s="10"/>
      <c r="V32" s="10"/>
      <c r="W32" s="10"/>
      <c r="X32" s="10"/>
      <c r="Y32" s="10"/>
      <c r="Z32" s="10"/>
      <c r="AA32" s="10"/>
      <c r="AB32" s="10"/>
      <c r="AC32" s="10"/>
      <c r="AD32" s="10"/>
      <c r="AF32" s="102"/>
      <c r="AG32" s="9" t="s">
        <v>167</v>
      </c>
      <c r="AH32" s="10" t="s">
        <v>168</v>
      </c>
      <c r="AI32" s="10" t="s">
        <v>169</v>
      </c>
      <c r="AJ32" s="10">
        <v>1357</v>
      </c>
      <c r="AK32" s="10">
        <v>1189</v>
      </c>
      <c r="AL32" s="10">
        <v>2344</v>
      </c>
      <c r="AM32" s="10">
        <v>4679</v>
      </c>
      <c r="AN32" s="46">
        <v>3559</v>
      </c>
      <c r="AO32" s="108"/>
      <c r="AP32" s="77">
        <f t="shared" si="3"/>
        <v>0</v>
      </c>
      <c r="AQ32" s="77">
        <f t="shared" si="3"/>
        <v>0</v>
      </c>
      <c r="AR32" s="77">
        <f t="shared" si="3"/>
        <v>0</v>
      </c>
      <c r="AS32" s="77">
        <f t="shared" si="3"/>
        <v>0</v>
      </c>
      <c r="AT32" s="77">
        <f t="shared" si="3"/>
        <v>0</v>
      </c>
      <c r="AU32" s="77">
        <f t="shared" si="3"/>
        <v>1</v>
      </c>
      <c r="AV32" s="79">
        <f t="shared" si="3"/>
        <v>0</v>
      </c>
      <c r="AY32" s="62" t="s">
        <v>32</v>
      </c>
      <c r="AZ32" s="63" t="s">
        <v>170</v>
      </c>
      <c r="BA32" s="52"/>
      <c r="BB32" s="52"/>
    </row>
    <row r="33" spans="1:59" ht="14.5" x14ac:dyDescent="0.3">
      <c r="A33" s="9" t="s">
        <v>171</v>
      </c>
      <c r="B33" s="10" t="s">
        <v>172</v>
      </c>
      <c r="C33" s="10" t="s">
        <v>173</v>
      </c>
      <c r="D33" s="10"/>
      <c r="E33" s="10"/>
      <c r="F33" s="10"/>
      <c r="G33" s="10">
        <v>1358</v>
      </c>
      <c r="H33" s="10">
        <v>1223</v>
      </c>
      <c r="I33" s="10"/>
      <c r="J33" s="10"/>
      <c r="K33" s="10">
        <v>2578</v>
      </c>
      <c r="L33" s="10">
        <v>2355</v>
      </c>
      <c r="M33" s="10"/>
      <c r="N33" s="10"/>
      <c r="O33" s="10"/>
      <c r="P33" s="10">
        <v>3566</v>
      </c>
      <c r="Q33" s="10"/>
      <c r="R33" s="10"/>
      <c r="S33" s="10"/>
      <c r="T33" s="10">
        <v>4889</v>
      </c>
      <c r="U33" s="10"/>
      <c r="V33" s="10"/>
      <c r="W33" s="10"/>
      <c r="X33" s="10"/>
      <c r="Y33" s="10"/>
      <c r="Z33" s="10"/>
      <c r="AA33" s="10"/>
      <c r="AB33" s="10"/>
      <c r="AC33" s="10"/>
      <c r="AD33" s="10"/>
      <c r="AF33" s="102"/>
      <c r="AG33" s="9" t="s">
        <v>171</v>
      </c>
      <c r="AH33" s="10" t="s">
        <v>172</v>
      </c>
      <c r="AI33" s="10" t="s">
        <v>173</v>
      </c>
      <c r="AJ33" s="10">
        <v>1358</v>
      </c>
      <c r="AK33" s="10">
        <v>1223</v>
      </c>
      <c r="AL33" s="10">
        <v>2355</v>
      </c>
      <c r="AM33" s="10">
        <v>4689</v>
      </c>
      <c r="AN33" s="46">
        <v>3566</v>
      </c>
      <c r="AO33" s="108"/>
      <c r="AP33" s="77">
        <f t="shared" si="3"/>
        <v>0</v>
      </c>
      <c r="AQ33" s="77">
        <f t="shared" si="3"/>
        <v>0</v>
      </c>
      <c r="AR33" s="77">
        <f t="shared" si="3"/>
        <v>0</v>
      </c>
      <c r="AS33" s="77">
        <f t="shared" si="3"/>
        <v>0</v>
      </c>
      <c r="AT33" s="77">
        <f t="shared" si="3"/>
        <v>1</v>
      </c>
      <c r="AU33" s="77">
        <f t="shared" si="3"/>
        <v>0</v>
      </c>
      <c r="AV33" s="79">
        <f t="shared" si="3"/>
        <v>0</v>
      </c>
      <c r="AY33" s="64" t="s">
        <v>33</v>
      </c>
      <c r="AZ33" s="63" t="s">
        <v>174</v>
      </c>
      <c r="BA33" s="52"/>
      <c r="BB33" s="52"/>
    </row>
    <row r="34" spans="1:59" ht="14.5" x14ac:dyDescent="0.3">
      <c r="A34" s="9" t="s">
        <v>175</v>
      </c>
      <c r="B34" s="10" t="s">
        <v>176</v>
      </c>
      <c r="C34" s="10" t="s">
        <v>177</v>
      </c>
      <c r="D34" s="10"/>
      <c r="E34" s="10"/>
      <c r="F34" s="10"/>
      <c r="G34" s="10">
        <v>1359</v>
      </c>
      <c r="H34" s="10">
        <v>1224</v>
      </c>
      <c r="I34" s="10"/>
      <c r="J34" s="10"/>
      <c r="K34" s="10">
        <v>2579</v>
      </c>
      <c r="L34" s="10">
        <v>2366</v>
      </c>
      <c r="M34" s="10"/>
      <c r="N34" s="10"/>
      <c r="O34" s="10"/>
      <c r="P34" s="10">
        <v>3577</v>
      </c>
      <c r="Q34" s="10"/>
      <c r="R34" s="10"/>
      <c r="S34" s="10"/>
      <c r="T34" s="10">
        <v>4899</v>
      </c>
      <c r="U34" s="10"/>
      <c r="V34" s="10"/>
      <c r="W34" s="10"/>
      <c r="X34" s="10"/>
      <c r="Y34" s="10"/>
      <c r="Z34" s="10"/>
      <c r="AA34" s="10"/>
      <c r="AB34" s="10"/>
      <c r="AC34" s="10"/>
      <c r="AD34" s="10"/>
      <c r="AF34" s="102"/>
      <c r="AG34" s="9" t="s">
        <v>175</v>
      </c>
      <c r="AH34" s="10" t="s">
        <v>176</v>
      </c>
      <c r="AI34" s="10" t="s">
        <v>177</v>
      </c>
      <c r="AJ34" s="10">
        <v>1359</v>
      </c>
      <c r="AK34" s="10">
        <v>1224</v>
      </c>
      <c r="AL34" s="10">
        <v>2366</v>
      </c>
      <c r="AM34" s="10">
        <v>4789</v>
      </c>
      <c r="AN34" s="46">
        <v>3577</v>
      </c>
      <c r="AO34" s="108"/>
      <c r="AP34" s="77">
        <f t="shared" si="3"/>
        <v>0</v>
      </c>
      <c r="AQ34" s="77">
        <f t="shared" si="3"/>
        <v>0</v>
      </c>
      <c r="AR34" s="77">
        <f t="shared" si="3"/>
        <v>0</v>
      </c>
      <c r="AS34" s="77">
        <f t="shared" si="3"/>
        <v>0</v>
      </c>
      <c r="AT34" s="77">
        <f t="shared" si="3"/>
        <v>0</v>
      </c>
      <c r="AU34" s="77">
        <f t="shared" si="3"/>
        <v>1</v>
      </c>
      <c r="AV34" s="79">
        <f t="shared" si="3"/>
        <v>1</v>
      </c>
      <c r="AY34" s="64" t="s">
        <v>34</v>
      </c>
      <c r="AZ34" s="63" t="s">
        <v>178</v>
      </c>
      <c r="BA34" s="52"/>
      <c r="BB34" s="52"/>
    </row>
    <row r="35" spans="1:59" ht="14.5" x14ac:dyDescent="0.3">
      <c r="A35" s="9" t="s">
        <v>179</v>
      </c>
      <c r="B35" s="10" t="s">
        <v>180</v>
      </c>
      <c r="C35" s="10" t="s">
        <v>181</v>
      </c>
      <c r="D35" s="10"/>
      <c r="E35" s="10"/>
      <c r="F35" s="10"/>
      <c r="G35" s="10">
        <v>1366</v>
      </c>
      <c r="H35" s="10">
        <v>1225</v>
      </c>
      <c r="I35" s="10"/>
      <c r="J35" s="10"/>
      <c r="K35" s="10">
        <v>2589</v>
      </c>
      <c r="L35" s="10">
        <v>2377</v>
      </c>
      <c r="M35" s="10"/>
      <c r="N35" s="10"/>
      <c r="O35" s="10"/>
      <c r="P35" s="10">
        <v>3588</v>
      </c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F35" s="102"/>
      <c r="AG35" s="9" t="s">
        <v>179</v>
      </c>
      <c r="AH35" s="10" t="s">
        <v>180</v>
      </c>
      <c r="AI35" s="10" t="s">
        <v>181</v>
      </c>
      <c r="AJ35" s="10">
        <v>1366</v>
      </c>
      <c r="AK35" s="10">
        <v>1225</v>
      </c>
      <c r="AL35" s="10">
        <v>2377</v>
      </c>
      <c r="AM35" s="10">
        <v>5678</v>
      </c>
      <c r="AN35" s="46">
        <v>3588</v>
      </c>
      <c r="AO35" s="108"/>
      <c r="AP35" s="77">
        <f t="shared" si="3"/>
        <v>0</v>
      </c>
      <c r="AQ35" s="77">
        <f t="shared" si="3"/>
        <v>0</v>
      </c>
      <c r="AR35" s="77">
        <f t="shared" si="3"/>
        <v>0</v>
      </c>
      <c r="AS35" s="77">
        <f t="shared" si="3"/>
        <v>0</v>
      </c>
      <c r="AT35" s="77">
        <f t="shared" si="3"/>
        <v>0</v>
      </c>
      <c r="AU35" s="77">
        <f t="shared" si="3"/>
        <v>0</v>
      </c>
      <c r="AV35" s="79">
        <f t="shared" si="3"/>
        <v>0</v>
      </c>
      <c r="AY35" s="64" t="s">
        <v>35</v>
      </c>
      <c r="AZ35" s="63" t="s">
        <v>182</v>
      </c>
      <c r="BA35" s="52"/>
      <c r="BB35" s="52"/>
    </row>
    <row r="36" spans="1:59" ht="14.5" x14ac:dyDescent="0.3">
      <c r="A36" s="9" t="s">
        <v>183</v>
      </c>
      <c r="B36" s="10" t="s">
        <v>184</v>
      </c>
      <c r="C36" s="10" t="s">
        <v>185</v>
      </c>
      <c r="D36" s="10"/>
      <c r="E36" s="10"/>
      <c r="F36" s="10"/>
      <c r="G36" s="10">
        <v>1367</v>
      </c>
      <c r="H36" s="10">
        <v>1226</v>
      </c>
      <c r="I36" s="10"/>
      <c r="J36" s="10"/>
      <c r="K36" s="10">
        <v>2678</v>
      </c>
      <c r="L36" s="10">
        <v>2388</v>
      </c>
      <c r="M36" s="10"/>
      <c r="N36" s="10"/>
      <c r="O36" s="10"/>
      <c r="P36" s="10">
        <v>3599</v>
      </c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F36" s="102"/>
      <c r="AG36" s="9" t="s">
        <v>183</v>
      </c>
      <c r="AH36" s="10" t="s">
        <v>184</v>
      </c>
      <c r="AI36" s="10" t="s">
        <v>185</v>
      </c>
      <c r="AJ36" s="10">
        <v>1367</v>
      </c>
      <c r="AK36" s="10">
        <v>1226</v>
      </c>
      <c r="AL36" s="10">
        <v>2388</v>
      </c>
      <c r="AM36" s="10">
        <v>5679</v>
      </c>
      <c r="AN36" s="46">
        <v>3599</v>
      </c>
      <c r="AO36" s="108"/>
      <c r="AP36" s="77">
        <f t="shared" si="3"/>
        <v>0</v>
      </c>
      <c r="AQ36" s="77">
        <f t="shared" si="3"/>
        <v>0</v>
      </c>
      <c r="AR36" s="77">
        <f t="shared" si="3"/>
        <v>1</v>
      </c>
      <c r="AS36" s="77">
        <f t="shared" si="3"/>
        <v>0</v>
      </c>
      <c r="AT36" s="77">
        <f t="shared" si="3"/>
        <v>0</v>
      </c>
      <c r="AU36" s="77">
        <f t="shared" si="3"/>
        <v>0</v>
      </c>
      <c r="AV36" s="79">
        <f t="shared" si="3"/>
        <v>1</v>
      </c>
    </row>
    <row r="37" spans="1:59" ht="14.5" x14ac:dyDescent="0.3">
      <c r="A37" s="9" t="s">
        <v>186</v>
      </c>
      <c r="B37" s="10" t="s">
        <v>187</v>
      </c>
      <c r="C37" s="10" t="s">
        <v>188</v>
      </c>
      <c r="D37" s="10"/>
      <c r="E37" s="10"/>
      <c r="F37" s="10"/>
      <c r="G37" s="10">
        <v>1368</v>
      </c>
      <c r="H37" s="10">
        <v>1227</v>
      </c>
      <c r="I37" s="10"/>
      <c r="J37" s="10"/>
      <c r="K37" s="10">
        <v>2679</v>
      </c>
      <c r="L37" s="10">
        <v>2399</v>
      </c>
      <c r="M37" s="10"/>
      <c r="N37" s="10"/>
      <c r="O37" s="10"/>
      <c r="P37" s="10">
        <v>3667</v>
      </c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F37" s="102"/>
      <c r="AG37" s="9" t="s">
        <v>186</v>
      </c>
      <c r="AH37" s="10" t="s">
        <v>187</v>
      </c>
      <c r="AI37" s="10" t="s">
        <v>188</v>
      </c>
      <c r="AJ37" s="10">
        <v>1368</v>
      </c>
      <c r="AK37" s="10">
        <v>1227</v>
      </c>
      <c r="AL37" s="10">
        <v>2399</v>
      </c>
      <c r="AM37" s="10">
        <v>5689</v>
      </c>
      <c r="AN37" s="46">
        <v>3667</v>
      </c>
      <c r="AO37" s="108"/>
      <c r="AP37" s="77">
        <f t="shared" si="3"/>
        <v>0</v>
      </c>
      <c r="AQ37" s="77">
        <f t="shared" si="3"/>
        <v>0</v>
      </c>
      <c r="AR37" s="77">
        <f t="shared" si="3"/>
        <v>0</v>
      </c>
      <c r="AS37" s="77">
        <f t="shared" si="3"/>
        <v>0</v>
      </c>
      <c r="AT37" s="77">
        <f t="shared" si="3"/>
        <v>0</v>
      </c>
      <c r="AU37" s="77">
        <f t="shared" si="3"/>
        <v>0</v>
      </c>
      <c r="AV37" s="79">
        <f t="shared" si="3"/>
        <v>1</v>
      </c>
    </row>
    <row r="38" spans="1:59" ht="14.5" x14ac:dyDescent="0.3">
      <c r="A38" s="9" t="s">
        <v>189</v>
      </c>
      <c r="B38" s="10" t="s">
        <v>190</v>
      </c>
      <c r="C38" s="10" t="s">
        <v>191</v>
      </c>
      <c r="D38" s="10"/>
      <c r="E38" s="10"/>
      <c r="F38" s="10"/>
      <c r="G38" s="10">
        <v>1369</v>
      </c>
      <c r="H38" s="10">
        <v>1228</v>
      </c>
      <c r="I38" s="10"/>
      <c r="J38" s="10"/>
      <c r="K38" s="10">
        <v>2689</v>
      </c>
      <c r="L38" s="10">
        <v>2445</v>
      </c>
      <c r="M38" s="10"/>
      <c r="N38" s="10"/>
      <c r="O38" s="10"/>
      <c r="P38" s="10">
        <v>3668</v>
      </c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F38" s="102"/>
      <c r="AG38" s="9" t="s">
        <v>189</v>
      </c>
      <c r="AH38" s="10" t="s">
        <v>190</v>
      </c>
      <c r="AI38" s="10" t="s">
        <v>191</v>
      </c>
      <c r="AJ38" s="10">
        <v>1369</v>
      </c>
      <c r="AK38" s="10">
        <v>1228</v>
      </c>
      <c r="AL38" s="10">
        <v>2445</v>
      </c>
      <c r="AM38" s="10">
        <v>5789</v>
      </c>
      <c r="AN38" s="46">
        <v>3668</v>
      </c>
      <c r="AO38" s="108"/>
      <c r="AP38" s="77">
        <f t="shared" si="3"/>
        <v>0</v>
      </c>
      <c r="AQ38" s="77">
        <f t="shared" si="3"/>
        <v>0</v>
      </c>
      <c r="AR38" s="77">
        <f t="shared" si="3"/>
        <v>0</v>
      </c>
      <c r="AS38" s="77">
        <f t="shared" si="3"/>
        <v>0</v>
      </c>
      <c r="AT38" s="77">
        <f t="shared" si="3"/>
        <v>0</v>
      </c>
      <c r="AU38" s="77">
        <f t="shared" si="3"/>
        <v>1</v>
      </c>
      <c r="AV38" s="79">
        <f t="shared" si="3"/>
        <v>1</v>
      </c>
    </row>
    <row r="39" spans="1:59" ht="14.5" x14ac:dyDescent="0.3">
      <c r="A39" s="9" t="s">
        <v>192</v>
      </c>
      <c r="B39" s="10" t="s">
        <v>143</v>
      </c>
      <c r="C39" s="10" t="s">
        <v>193</v>
      </c>
      <c r="D39" s="10"/>
      <c r="E39" s="10"/>
      <c r="F39" s="10"/>
      <c r="G39" s="10">
        <v>1378</v>
      </c>
      <c r="H39" s="10">
        <v>1229</v>
      </c>
      <c r="I39" s="10"/>
      <c r="J39" s="10"/>
      <c r="K39" s="10">
        <v>2789</v>
      </c>
      <c r="L39" s="10">
        <v>2446</v>
      </c>
      <c r="M39" s="10"/>
      <c r="N39" s="10"/>
      <c r="O39" s="10"/>
      <c r="P39" s="10">
        <v>3669</v>
      </c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F39" s="102"/>
      <c r="AG39" s="9" t="s">
        <v>192</v>
      </c>
      <c r="AH39" s="10" t="s">
        <v>143</v>
      </c>
      <c r="AI39" s="10" t="s">
        <v>193</v>
      </c>
      <c r="AJ39" s="10">
        <v>1378</v>
      </c>
      <c r="AK39" s="10">
        <v>1229</v>
      </c>
      <c r="AL39" s="10">
        <v>2446</v>
      </c>
      <c r="AM39" s="10">
        <v>6789</v>
      </c>
      <c r="AN39" s="46">
        <v>3669</v>
      </c>
      <c r="AO39" s="108"/>
      <c r="AP39" s="77">
        <f t="shared" si="3"/>
        <v>1</v>
      </c>
      <c r="AQ39" s="77">
        <f t="shared" si="3"/>
        <v>0</v>
      </c>
      <c r="AR39" s="77">
        <f t="shared" si="3"/>
        <v>1</v>
      </c>
      <c r="AS39" s="77">
        <f t="shared" si="3"/>
        <v>0</v>
      </c>
      <c r="AT39" s="77">
        <f t="shared" si="3"/>
        <v>4</v>
      </c>
      <c r="AU39" s="77">
        <f t="shared" si="3"/>
        <v>0</v>
      </c>
      <c r="AV39" s="79">
        <f t="shared" si="3"/>
        <v>0</v>
      </c>
    </row>
    <row r="40" spans="1:59" s="34" customFormat="1" ht="15" thickBot="1" x14ac:dyDescent="0.35">
      <c r="A40" s="32" t="s">
        <v>194</v>
      </c>
      <c r="B40" s="33" t="s">
        <v>195</v>
      </c>
      <c r="C40" s="33" t="s">
        <v>196</v>
      </c>
      <c r="D40" s="33"/>
      <c r="E40" s="33"/>
      <c r="F40" s="33"/>
      <c r="G40" s="33">
        <v>1379</v>
      </c>
      <c r="H40" s="33">
        <v>1233</v>
      </c>
      <c r="I40" s="33"/>
      <c r="J40" s="33"/>
      <c r="K40" s="33"/>
      <c r="L40" s="33">
        <v>2447</v>
      </c>
      <c r="M40" s="33"/>
      <c r="N40" s="33"/>
      <c r="O40" s="33"/>
      <c r="P40" s="33">
        <v>3677</v>
      </c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F40" s="103"/>
      <c r="AG40" s="43" t="s">
        <v>194</v>
      </c>
      <c r="AH40" s="44" t="s">
        <v>195</v>
      </c>
      <c r="AI40" s="44" t="s">
        <v>196</v>
      </c>
      <c r="AJ40" s="44">
        <v>1379</v>
      </c>
      <c r="AK40" s="44">
        <v>1233</v>
      </c>
      <c r="AL40" s="44">
        <v>2447</v>
      </c>
      <c r="AM40" s="44"/>
      <c r="AN40" s="49">
        <v>3677</v>
      </c>
      <c r="AO40" s="109"/>
      <c r="AP40" s="80">
        <f t="shared" si="3"/>
        <v>1</v>
      </c>
      <c r="AQ40" s="80">
        <f t="shared" si="3"/>
        <v>0</v>
      </c>
      <c r="AR40" s="80">
        <f t="shared" si="3"/>
        <v>0</v>
      </c>
      <c r="AS40" s="80">
        <f t="shared" si="3"/>
        <v>0</v>
      </c>
      <c r="AT40" s="80">
        <f t="shared" si="3"/>
        <v>0</v>
      </c>
      <c r="AU40" s="80">
        <f t="shared" si="3"/>
        <v>0</v>
      </c>
      <c r="AV40" s="81">
        <f t="shared" si="3"/>
        <v>0</v>
      </c>
      <c r="AX40" s="65"/>
      <c r="AY40" s="65" t="s">
        <v>43</v>
      </c>
      <c r="AZ40" s="56" t="s">
        <v>44</v>
      </c>
      <c r="BA40" s="56" t="s">
        <v>45</v>
      </c>
      <c r="BB40" s="56" t="s">
        <v>46</v>
      </c>
      <c r="BC40" s="66" t="s">
        <v>425</v>
      </c>
      <c r="BD40" s="67" t="s">
        <v>432</v>
      </c>
      <c r="BE40" s="68" t="s">
        <v>431</v>
      </c>
      <c r="BF40" s="69"/>
      <c r="BG40" s="14"/>
    </row>
    <row r="41" spans="1:59" ht="14.5" x14ac:dyDescent="0.3">
      <c r="A41" s="9" t="s">
        <v>197</v>
      </c>
      <c r="B41" s="10" t="s">
        <v>198</v>
      </c>
      <c r="C41" s="10" t="s">
        <v>199</v>
      </c>
      <c r="D41" s="10"/>
      <c r="E41" s="10"/>
      <c r="F41" s="10"/>
      <c r="G41" s="10">
        <v>1389</v>
      </c>
      <c r="H41" s="10">
        <v>1244</v>
      </c>
      <c r="I41" s="10"/>
      <c r="J41" s="10"/>
      <c r="K41" s="10"/>
      <c r="L41" s="10">
        <v>2448</v>
      </c>
      <c r="M41" s="10"/>
      <c r="N41" s="10"/>
      <c r="O41" s="10"/>
      <c r="P41" s="10">
        <v>3688</v>
      </c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F41" s="101" t="s">
        <v>437</v>
      </c>
      <c r="AG41" s="39" t="s">
        <v>197</v>
      </c>
      <c r="AH41" s="40" t="s">
        <v>198</v>
      </c>
      <c r="AI41" s="40" t="s">
        <v>199</v>
      </c>
      <c r="AJ41" s="40">
        <v>1389</v>
      </c>
      <c r="AK41" s="40">
        <v>1244</v>
      </c>
      <c r="AL41" s="40">
        <v>2448</v>
      </c>
      <c r="AM41" s="40"/>
      <c r="AN41" s="48">
        <v>3688</v>
      </c>
      <c r="AO41" s="107">
        <f t="shared" ref="AO41" si="5">SUM(AP41:AV52)</f>
        <v>28</v>
      </c>
      <c r="AP41" s="75">
        <f t="shared" si="3"/>
        <v>0</v>
      </c>
      <c r="AQ41" s="75">
        <f t="shared" si="3"/>
        <v>0</v>
      </c>
      <c r="AR41" s="75">
        <f t="shared" si="3"/>
        <v>0</v>
      </c>
      <c r="AS41" s="75">
        <f t="shared" si="3"/>
        <v>0</v>
      </c>
      <c r="AT41" s="75">
        <f t="shared" si="3"/>
        <v>4</v>
      </c>
      <c r="AU41" s="75">
        <f t="shared" si="3"/>
        <v>0</v>
      </c>
      <c r="AV41" s="76">
        <f t="shared" si="3"/>
        <v>0</v>
      </c>
      <c r="AX41" s="70" t="s">
        <v>53</v>
      </c>
      <c r="AY41" s="55">
        <v>1446</v>
      </c>
      <c r="AZ41" s="55">
        <v>3679</v>
      </c>
      <c r="BA41" s="55">
        <v>4566</v>
      </c>
      <c r="BB41" s="55">
        <v>4567</v>
      </c>
      <c r="BC41" s="71">
        <v>3455</v>
      </c>
      <c r="BD41" s="57" t="s">
        <v>298</v>
      </c>
      <c r="BE41" s="54">
        <f>COUNTIF(AY$41:BC$63,BD41)</f>
        <v>0</v>
      </c>
      <c r="BF41" s="53"/>
    </row>
    <row r="42" spans="1:59" ht="14.5" x14ac:dyDescent="0.3">
      <c r="A42" s="9" t="s">
        <v>200</v>
      </c>
      <c r="B42" s="10" t="s">
        <v>201</v>
      </c>
      <c r="C42" s="10" t="s">
        <v>202</v>
      </c>
      <c r="D42" s="10"/>
      <c r="E42" s="10"/>
      <c r="F42" s="10"/>
      <c r="G42" s="10">
        <v>1456</v>
      </c>
      <c r="H42" s="10">
        <v>1255</v>
      </c>
      <c r="I42" s="10"/>
      <c r="J42" s="10"/>
      <c r="K42" s="10"/>
      <c r="L42" s="10">
        <v>2449</v>
      </c>
      <c r="M42" s="10"/>
      <c r="N42" s="10"/>
      <c r="O42" s="10"/>
      <c r="P42" s="10">
        <v>3699</v>
      </c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F42" s="102"/>
      <c r="AG42" s="9" t="s">
        <v>200</v>
      </c>
      <c r="AH42" s="10" t="s">
        <v>201</v>
      </c>
      <c r="AI42" s="10" t="s">
        <v>202</v>
      </c>
      <c r="AJ42" s="10">
        <v>1456</v>
      </c>
      <c r="AK42" s="10">
        <v>1255</v>
      </c>
      <c r="AL42" s="10">
        <v>2449</v>
      </c>
      <c r="AM42" s="10"/>
      <c r="AN42" s="46">
        <v>3699</v>
      </c>
      <c r="AO42" s="108"/>
      <c r="AP42" s="77">
        <f t="shared" si="3"/>
        <v>0</v>
      </c>
      <c r="AQ42" s="77">
        <f t="shared" si="3"/>
        <v>0</v>
      </c>
      <c r="AR42" s="77">
        <f t="shared" si="3"/>
        <v>3</v>
      </c>
      <c r="AS42" s="77">
        <f t="shared" si="3"/>
        <v>0</v>
      </c>
      <c r="AT42" s="77">
        <f t="shared" si="3"/>
        <v>0</v>
      </c>
      <c r="AU42" s="77">
        <f t="shared" si="3"/>
        <v>0</v>
      </c>
      <c r="AV42" s="79">
        <f t="shared" si="3"/>
        <v>0</v>
      </c>
      <c r="AX42" s="70"/>
      <c r="AY42" s="55">
        <v>2556</v>
      </c>
      <c r="AZ42" s="55">
        <v>1237</v>
      </c>
      <c r="BA42" s="55">
        <v>1388</v>
      </c>
      <c r="BB42" s="55" t="s">
        <v>49</v>
      </c>
      <c r="BC42" s="57">
        <v>4678</v>
      </c>
      <c r="BD42" s="57">
        <v>2488</v>
      </c>
      <c r="BE42" s="54">
        <f t="shared" ref="BE42:BE63" si="6">COUNTIF(AY$41:BC$63,BD42)</f>
        <v>0</v>
      </c>
      <c r="BF42" s="53"/>
    </row>
    <row r="43" spans="1:59" ht="14.5" x14ac:dyDescent="0.3">
      <c r="A43" s="9" t="s">
        <v>203</v>
      </c>
      <c r="B43" s="10" t="s">
        <v>103</v>
      </c>
      <c r="C43" s="10" t="s">
        <v>204</v>
      </c>
      <c r="D43" s="10"/>
      <c r="E43" s="10"/>
      <c r="F43" s="10"/>
      <c r="G43" s="10">
        <v>1457</v>
      </c>
      <c r="H43" s="10">
        <v>1266</v>
      </c>
      <c r="I43" s="10"/>
      <c r="J43" s="10"/>
      <c r="K43" s="10"/>
      <c r="L43" s="10">
        <v>2455</v>
      </c>
      <c r="M43" s="10"/>
      <c r="N43" s="10"/>
      <c r="O43" s="10"/>
      <c r="P43" s="10">
        <v>3778</v>
      </c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F43" s="102"/>
      <c r="AG43" s="9" t="s">
        <v>203</v>
      </c>
      <c r="AH43" s="10" t="s">
        <v>103</v>
      </c>
      <c r="AI43" s="10" t="s">
        <v>204</v>
      </c>
      <c r="AJ43" s="10">
        <v>1457</v>
      </c>
      <c r="AK43" s="10">
        <v>1266</v>
      </c>
      <c r="AL43" s="10">
        <v>2455</v>
      </c>
      <c r="AM43" s="10"/>
      <c r="AN43" s="46">
        <v>3778</v>
      </c>
      <c r="AO43" s="108"/>
      <c r="AP43" s="77">
        <f t="shared" si="3"/>
        <v>4</v>
      </c>
      <c r="AQ43" s="77">
        <f t="shared" si="3"/>
        <v>0</v>
      </c>
      <c r="AR43" s="77">
        <f t="shared" si="3"/>
        <v>3</v>
      </c>
      <c r="AS43" s="77">
        <f t="shared" si="3"/>
        <v>0</v>
      </c>
      <c r="AT43" s="77">
        <f t="shared" si="3"/>
        <v>0</v>
      </c>
      <c r="AU43" s="77">
        <f t="shared" si="3"/>
        <v>0</v>
      </c>
      <c r="AV43" s="79">
        <f t="shared" si="3"/>
        <v>0</v>
      </c>
      <c r="AX43" s="70"/>
      <c r="AY43" s="55">
        <v>2248</v>
      </c>
      <c r="AZ43" s="55" t="s">
        <v>64</v>
      </c>
      <c r="BA43" s="55" t="s">
        <v>49</v>
      </c>
      <c r="BB43" s="55">
        <v>2356</v>
      </c>
      <c r="BC43" s="57" t="s">
        <v>274</v>
      </c>
      <c r="BD43" s="57" t="s">
        <v>352</v>
      </c>
      <c r="BE43" s="54">
        <f t="shared" si="6"/>
        <v>0</v>
      </c>
      <c r="BF43" s="53"/>
    </row>
    <row r="44" spans="1:59" ht="14.5" x14ac:dyDescent="0.3">
      <c r="A44" s="9" t="s">
        <v>205</v>
      </c>
      <c r="B44" s="10" t="s">
        <v>206</v>
      </c>
      <c r="C44" s="10" t="s">
        <v>207</v>
      </c>
      <c r="D44" s="10"/>
      <c r="E44" s="10"/>
      <c r="F44" s="10"/>
      <c r="G44" s="10">
        <v>1458</v>
      </c>
      <c r="H44" s="10">
        <v>1277</v>
      </c>
      <c r="I44" s="10"/>
      <c r="J44" s="10"/>
      <c r="K44" s="10"/>
      <c r="L44" s="10">
        <v>2466</v>
      </c>
      <c r="M44" s="10"/>
      <c r="N44" s="10"/>
      <c r="O44" s="10"/>
      <c r="P44" s="10">
        <v>3779</v>
      </c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F44" s="102"/>
      <c r="AG44" s="9" t="s">
        <v>205</v>
      </c>
      <c r="AH44" s="10" t="s">
        <v>206</v>
      </c>
      <c r="AI44" s="10" t="s">
        <v>207</v>
      </c>
      <c r="AJ44" s="10">
        <v>1458</v>
      </c>
      <c r="AK44" s="10">
        <v>1277</v>
      </c>
      <c r="AL44" s="10">
        <v>2466</v>
      </c>
      <c r="AM44" s="10"/>
      <c r="AN44" s="46">
        <v>3779</v>
      </c>
      <c r="AO44" s="108"/>
      <c r="AP44" s="77">
        <f t="shared" si="3"/>
        <v>0</v>
      </c>
      <c r="AQ44" s="77">
        <f t="shared" si="3"/>
        <v>0</v>
      </c>
      <c r="AR44" s="77">
        <f t="shared" si="3"/>
        <v>0</v>
      </c>
      <c r="AS44" s="77">
        <f t="shared" si="3"/>
        <v>0</v>
      </c>
      <c r="AT44" s="77">
        <f t="shared" si="3"/>
        <v>0</v>
      </c>
      <c r="AU44" s="77">
        <f t="shared" si="3"/>
        <v>0</v>
      </c>
      <c r="AV44" s="79">
        <f t="shared" si="3"/>
        <v>0</v>
      </c>
      <c r="AX44" s="70" t="s">
        <v>70</v>
      </c>
      <c r="AY44" s="55">
        <v>5699</v>
      </c>
      <c r="AZ44" s="55">
        <v>1137</v>
      </c>
      <c r="BA44" s="55" t="s">
        <v>71</v>
      </c>
      <c r="BB44" s="55">
        <v>3679</v>
      </c>
      <c r="BC44" s="57">
        <v>4578</v>
      </c>
      <c r="BD44" s="57" t="s">
        <v>342</v>
      </c>
      <c r="BE44" s="54">
        <f t="shared" si="6"/>
        <v>0</v>
      </c>
      <c r="BF44" s="53"/>
    </row>
    <row r="45" spans="1:59" ht="14.5" x14ac:dyDescent="0.3">
      <c r="A45" s="9" t="s">
        <v>208</v>
      </c>
      <c r="B45" s="10" t="s">
        <v>209</v>
      </c>
      <c r="C45" s="10" t="s">
        <v>210</v>
      </c>
      <c r="D45" s="10"/>
      <c r="E45" s="10"/>
      <c r="F45" s="10"/>
      <c r="G45" s="10">
        <v>1459</v>
      </c>
      <c r="H45" s="10">
        <v>1288</v>
      </c>
      <c r="I45" s="10"/>
      <c r="J45" s="10"/>
      <c r="K45" s="10"/>
      <c r="L45" s="10">
        <v>2477</v>
      </c>
      <c r="M45" s="10"/>
      <c r="N45" s="10"/>
      <c r="O45" s="10"/>
      <c r="P45" s="10">
        <v>3788</v>
      </c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F45" s="102"/>
      <c r="AG45" s="9" t="s">
        <v>208</v>
      </c>
      <c r="AH45" s="10" t="s">
        <v>209</v>
      </c>
      <c r="AI45" s="10" t="s">
        <v>210</v>
      </c>
      <c r="AJ45" s="10">
        <v>1459</v>
      </c>
      <c r="AK45" s="10">
        <v>1288</v>
      </c>
      <c r="AL45" s="10">
        <v>2477</v>
      </c>
      <c r="AM45" s="10"/>
      <c r="AN45" s="46">
        <v>3788</v>
      </c>
      <c r="AO45" s="108"/>
      <c r="AP45" s="77">
        <f t="shared" si="3"/>
        <v>0</v>
      </c>
      <c r="AQ45" s="77">
        <f t="shared" si="3"/>
        <v>0</v>
      </c>
      <c r="AR45" s="77">
        <f t="shared" si="3"/>
        <v>0</v>
      </c>
      <c r="AS45" s="77">
        <f t="shared" si="3"/>
        <v>0</v>
      </c>
      <c r="AT45" s="77">
        <f t="shared" si="3"/>
        <v>0</v>
      </c>
      <c r="AU45" s="77">
        <f t="shared" si="3"/>
        <v>0</v>
      </c>
      <c r="AV45" s="79">
        <f t="shared" si="3"/>
        <v>0</v>
      </c>
      <c r="AX45" s="70"/>
      <c r="AY45" s="55">
        <v>2356</v>
      </c>
      <c r="AZ45" s="55">
        <v>2446</v>
      </c>
      <c r="BA45" s="55">
        <v>1248</v>
      </c>
      <c r="BB45" s="55">
        <v>1137</v>
      </c>
      <c r="BC45" s="57">
        <v>1447</v>
      </c>
      <c r="BD45" s="57">
        <v>3889</v>
      </c>
      <c r="BE45" s="54">
        <f t="shared" si="6"/>
        <v>0</v>
      </c>
      <c r="BF45" s="53"/>
    </row>
    <row r="46" spans="1:59" ht="14.5" x14ac:dyDescent="0.3">
      <c r="A46" s="9" t="s">
        <v>211</v>
      </c>
      <c r="B46" s="10" t="s">
        <v>212</v>
      </c>
      <c r="C46" s="10" t="s">
        <v>213</v>
      </c>
      <c r="D46" s="10"/>
      <c r="E46" s="10"/>
      <c r="F46" s="10"/>
      <c r="G46" s="10">
        <v>1467</v>
      </c>
      <c r="H46" s="10">
        <v>1299</v>
      </c>
      <c r="I46" s="10"/>
      <c r="J46" s="10"/>
      <c r="K46" s="10"/>
      <c r="L46" s="10">
        <v>2488</v>
      </c>
      <c r="M46" s="10"/>
      <c r="N46" s="10"/>
      <c r="O46" s="10"/>
      <c r="P46" s="10">
        <v>3799</v>
      </c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F46" s="102"/>
      <c r="AG46" s="9" t="s">
        <v>211</v>
      </c>
      <c r="AH46" s="10" t="s">
        <v>212</v>
      </c>
      <c r="AI46" s="10" t="s">
        <v>213</v>
      </c>
      <c r="AJ46" s="10">
        <v>1467</v>
      </c>
      <c r="AK46" s="10">
        <v>1299</v>
      </c>
      <c r="AL46" s="10">
        <v>2488</v>
      </c>
      <c r="AM46" s="10"/>
      <c r="AN46" s="46">
        <v>3799</v>
      </c>
      <c r="AO46" s="108"/>
      <c r="AP46" s="77">
        <f t="shared" si="3"/>
        <v>0</v>
      </c>
      <c r="AQ46" s="77">
        <f t="shared" si="3"/>
        <v>0</v>
      </c>
      <c r="AR46" s="77">
        <f t="shared" si="3"/>
        <v>0</v>
      </c>
      <c r="AS46" s="77">
        <f t="shared" si="3"/>
        <v>0</v>
      </c>
      <c r="AT46" s="77">
        <f t="shared" si="3"/>
        <v>1</v>
      </c>
      <c r="AU46" s="77">
        <f t="shared" si="3"/>
        <v>0</v>
      </c>
      <c r="AV46" s="79">
        <f t="shared" si="3"/>
        <v>0</v>
      </c>
      <c r="AX46" s="70"/>
      <c r="AY46" s="55">
        <v>3679</v>
      </c>
      <c r="AZ46" s="55">
        <v>1339</v>
      </c>
      <c r="BA46" s="55" t="s">
        <v>38</v>
      </c>
      <c r="BB46" s="55" t="s">
        <v>71</v>
      </c>
      <c r="BC46" s="57">
        <v>3577</v>
      </c>
      <c r="BD46" s="57">
        <v>2367</v>
      </c>
      <c r="BE46" s="54">
        <f t="shared" si="6"/>
        <v>0</v>
      </c>
      <c r="BF46" s="53"/>
    </row>
    <row r="47" spans="1:59" ht="14.5" x14ac:dyDescent="0.3">
      <c r="A47" s="9" t="s">
        <v>214</v>
      </c>
      <c r="B47" s="10" t="s">
        <v>215</v>
      </c>
      <c r="C47" s="10" t="s">
        <v>102</v>
      </c>
      <c r="D47" s="10"/>
      <c r="E47" s="10"/>
      <c r="F47" s="10"/>
      <c r="G47" s="10">
        <v>1468</v>
      </c>
      <c r="H47" s="10">
        <v>1334</v>
      </c>
      <c r="I47" s="10"/>
      <c r="J47" s="10"/>
      <c r="K47" s="10"/>
      <c r="L47" s="10">
        <v>2499</v>
      </c>
      <c r="M47" s="10"/>
      <c r="N47" s="10"/>
      <c r="O47" s="10"/>
      <c r="P47" s="10">
        <v>3889</v>
      </c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F47" s="102"/>
      <c r="AG47" s="9" t="s">
        <v>214</v>
      </c>
      <c r="AH47" s="10" t="s">
        <v>215</v>
      </c>
      <c r="AI47" s="10" t="s">
        <v>102</v>
      </c>
      <c r="AJ47" s="10">
        <v>1468</v>
      </c>
      <c r="AK47" s="10">
        <v>1334</v>
      </c>
      <c r="AL47" s="10">
        <v>2499</v>
      </c>
      <c r="AM47" s="10"/>
      <c r="AN47" s="46">
        <v>3889</v>
      </c>
      <c r="AO47" s="108"/>
      <c r="AP47" s="77">
        <f t="shared" si="3"/>
        <v>1</v>
      </c>
      <c r="AQ47" s="77">
        <f t="shared" si="3"/>
        <v>1</v>
      </c>
      <c r="AR47" s="77">
        <f t="shared" si="3"/>
        <v>0</v>
      </c>
      <c r="AS47" s="77">
        <f t="shared" si="3"/>
        <v>0</v>
      </c>
      <c r="AT47" s="77">
        <f t="shared" si="3"/>
        <v>0</v>
      </c>
      <c r="AU47" s="77">
        <f t="shared" si="3"/>
        <v>0</v>
      </c>
      <c r="AV47" s="79">
        <f t="shared" si="3"/>
        <v>1</v>
      </c>
      <c r="AX47" s="70"/>
      <c r="AY47" s="55" t="s">
        <v>51</v>
      </c>
      <c r="AZ47" s="55">
        <v>3667</v>
      </c>
      <c r="BA47" s="55">
        <v>5588</v>
      </c>
      <c r="BB47" s="55">
        <v>2446</v>
      </c>
      <c r="BC47" s="57">
        <v>1238</v>
      </c>
      <c r="BD47" s="57" t="s">
        <v>279</v>
      </c>
      <c r="BE47" s="54">
        <f t="shared" si="6"/>
        <v>0</v>
      </c>
      <c r="BF47" s="53"/>
    </row>
    <row r="48" spans="1:59" ht="14.5" x14ac:dyDescent="0.3">
      <c r="A48" s="9" t="s">
        <v>216</v>
      </c>
      <c r="B48" s="10" t="s">
        <v>217</v>
      </c>
      <c r="C48" s="10" t="s">
        <v>218</v>
      </c>
      <c r="D48" s="10"/>
      <c r="E48" s="10"/>
      <c r="F48" s="10"/>
      <c r="G48" s="10">
        <v>1469</v>
      </c>
      <c r="H48" s="10">
        <v>1335</v>
      </c>
      <c r="I48" s="10"/>
      <c r="J48" s="10"/>
      <c r="K48" s="10"/>
      <c r="L48" s="10">
        <v>2556</v>
      </c>
      <c r="M48" s="10"/>
      <c r="N48" s="10"/>
      <c r="O48" s="10"/>
      <c r="P48" s="10">
        <v>3899</v>
      </c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F48" s="102"/>
      <c r="AG48" s="9" t="s">
        <v>216</v>
      </c>
      <c r="AH48" s="10" t="s">
        <v>217</v>
      </c>
      <c r="AI48" s="10" t="s">
        <v>218</v>
      </c>
      <c r="AJ48" s="10">
        <v>1469</v>
      </c>
      <c r="AK48" s="10">
        <v>1335</v>
      </c>
      <c r="AL48" s="10">
        <v>2556</v>
      </c>
      <c r="AM48" s="10"/>
      <c r="AN48" s="46">
        <v>3899</v>
      </c>
      <c r="AO48" s="108"/>
      <c r="AP48" s="77">
        <f t="shared" si="3"/>
        <v>0</v>
      </c>
      <c r="AQ48" s="77">
        <f t="shared" si="3"/>
        <v>0</v>
      </c>
      <c r="AR48" s="77">
        <f t="shared" si="3"/>
        <v>0</v>
      </c>
      <c r="AS48" s="77">
        <f t="shared" si="3"/>
        <v>4</v>
      </c>
      <c r="AT48" s="77">
        <f t="shared" si="3"/>
        <v>0</v>
      </c>
      <c r="AU48" s="77">
        <f t="shared" si="3"/>
        <v>0</v>
      </c>
      <c r="AV48" s="79">
        <f t="shared" si="3"/>
        <v>0</v>
      </c>
      <c r="AX48" s="70"/>
      <c r="AY48" s="55">
        <v>1445</v>
      </c>
      <c r="AZ48" s="55">
        <v>2568</v>
      </c>
      <c r="BA48" s="55">
        <v>6678</v>
      </c>
      <c r="BB48" s="55" t="s">
        <v>38</v>
      </c>
      <c r="BC48" s="57">
        <v>2456</v>
      </c>
      <c r="BD48" s="71" t="s">
        <v>102</v>
      </c>
      <c r="BE48" s="54">
        <f t="shared" si="6"/>
        <v>1</v>
      </c>
      <c r="BF48" s="53"/>
    </row>
    <row r="49" spans="1:58" ht="14.5" x14ac:dyDescent="0.3">
      <c r="A49" s="9" t="s">
        <v>219</v>
      </c>
      <c r="B49" s="10" t="s">
        <v>96</v>
      </c>
      <c r="C49" s="10" t="s">
        <v>220</v>
      </c>
      <c r="D49" s="10"/>
      <c r="E49" s="10"/>
      <c r="F49" s="10"/>
      <c r="G49" s="10">
        <v>1478</v>
      </c>
      <c r="H49" s="10">
        <v>1336</v>
      </c>
      <c r="I49" s="10"/>
      <c r="J49" s="10"/>
      <c r="K49" s="10"/>
      <c r="L49" s="10">
        <v>2557</v>
      </c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F49" s="102"/>
      <c r="AG49" s="9" t="s">
        <v>219</v>
      </c>
      <c r="AH49" s="10" t="s">
        <v>96</v>
      </c>
      <c r="AI49" s="10" t="s">
        <v>220</v>
      </c>
      <c r="AJ49" s="10">
        <v>1478</v>
      </c>
      <c r="AK49" s="10">
        <v>1336</v>
      </c>
      <c r="AL49" s="10">
        <v>2557</v>
      </c>
      <c r="AM49" s="10"/>
      <c r="AN49" s="46">
        <v>4456</v>
      </c>
      <c r="AO49" s="108"/>
      <c r="AP49" s="77">
        <f t="shared" si="3"/>
        <v>3</v>
      </c>
      <c r="AQ49" s="77">
        <f t="shared" si="3"/>
        <v>0</v>
      </c>
      <c r="AR49" s="77">
        <f t="shared" si="3"/>
        <v>0</v>
      </c>
      <c r="AS49" s="77">
        <f t="shared" si="3"/>
        <v>0</v>
      </c>
      <c r="AT49" s="77">
        <f t="shared" si="3"/>
        <v>0</v>
      </c>
      <c r="AU49" s="77">
        <f t="shared" si="3"/>
        <v>0</v>
      </c>
      <c r="AV49" s="79">
        <f t="shared" si="3"/>
        <v>0</v>
      </c>
      <c r="AX49" s="70"/>
      <c r="AY49" s="55" t="s">
        <v>96</v>
      </c>
      <c r="AZ49" s="55">
        <v>1344</v>
      </c>
      <c r="BA49" s="55" t="s">
        <v>97</v>
      </c>
      <c r="BB49" s="55">
        <v>5588</v>
      </c>
      <c r="BC49" s="57">
        <v>5789</v>
      </c>
      <c r="BD49" s="57">
        <v>2368</v>
      </c>
      <c r="BE49" s="54">
        <f t="shared" si="6"/>
        <v>0</v>
      </c>
      <c r="BF49" s="53"/>
    </row>
    <row r="50" spans="1:58" ht="14.5" x14ac:dyDescent="0.3">
      <c r="A50" s="9" t="s">
        <v>221</v>
      </c>
      <c r="B50" s="10" t="s">
        <v>222</v>
      </c>
      <c r="C50" s="10" t="s">
        <v>223</v>
      </c>
      <c r="D50" s="10"/>
      <c r="E50" s="10"/>
      <c r="F50" s="10"/>
      <c r="G50" s="10">
        <v>1479</v>
      </c>
      <c r="H50" s="10">
        <v>1337</v>
      </c>
      <c r="I50" s="10"/>
      <c r="J50" s="10"/>
      <c r="K50" s="10"/>
      <c r="L50" s="10">
        <v>2558</v>
      </c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F50" s="102"/>
      <c r="AG50" s="9" t="s">
        <v>221</v>
      </c>
      <c r="AH50" s="10" t="s">
        <v>222</v>
      </c>
      <c r="AI50" s="10" t="s">
        <v>223</v>
      </c>
      <c r="AJ50" s="10">
        <v>1479</v>
      </c>
      <c r="AK50" s="10">
        <v>1337</v>
      </c>
      <c r="AL50" s="10">
        <v>2558</v>
      </c>
      <c r="AM50" s="10"/>
      <c r="AN50" s="46">
        <v>4457</v>
      </c>
      <c r="AO50" s="108"/>
      <c r="AP50" s="77">
        <f t="shared" si="3"/>
        <v>0</v>
      </c>
      <c r="AQ50" s="77">
        <f t="shared" si="3"/>
        <v>0</v>
      </c>
      <c r="AR50" s="77">
        <f t="shared" si="3"/>
        <v>0</v>
      </c>
      <c r="AS50" s="77">
        <f t="shared" si="3"/>
        <v>0</v>
      </c>
      <c r="AT50" s="77">
        <f t="shared" si="3"/>
        <v>0</v>
      </c>
      <c r="AU50" s="77">
        <f t="shared" si="3"/>
        <v>0</v>
      </c>
      <c r="AV50" s="79">
        <f t="shared" si="3"/>
        <v>0</v>
      </c>
      <c r="AX50" s="70"/>
      <c r="AY50" s="72" t="s">
        <v>102</v>
      </c>
      <c r="AZ50" s="55">
        <v>2337</v>
      </c>
      <c r="BA50" s="55">
        <v>6667</v>
      </c>
      <c r="BB50" s="55">
        <v>6678</v>
      </c>
      <c r="BC50" s="57" t="s">
        <v>307</v>
      </c>
      <c r="BD50" s="71">
        <v>3455</v>
      </c>
      <c r="BE50" s="54">
        <f t="shared" si="6"/>
        <v>1</v>
      </c>
      <c r="BF50" s="53"/>
    </row>
    <row r="51" spans="1:58" ht="14.5" x14ac:dyDescent="0.3">
      <c r="A51" s="9" t="s">
        <v>224</v>
      </c>
      <c r="B51" s="10" t="s">
        <v>225</v>
      </c>
      <c r="C51" s="10" t="s">
        <v>109</v>
      </c>
      <c r="D51" s="10"/>
      <c r="E51" s="10"/>
      <c r="F51" s="10"/>
      <c r="G51" s="10">
        <v>1489</v>
      </c>
      <c r="H51" s="10">
        <v>1338</v>
      </c>
      <c r="I51" s="10"/>
      <c r="J51" s="10"/>
      <c r="K51" s="10"/>
      <c r="L51" s="10">
        <v>2559</v>
      </c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F51" s="102"/>
      <c r="AG51" s="9" t="s">
        <v>224</v>
      </c>
      <c r="AH51" s="10" t="s">
        <v>225</v>
      </c>
      <c r="AI51" s="10" t="s">
        <v>109</v>
      </c>
      <c r="AJ51" s="10">
        <v>1489</v>
      </c>
      <c r="AK51" s="10">
        <v>1338</v>
      </c>
      <c r="AL51" s="10">
        <v>2559</v>
      </c>
      <c r="AM51" s="10"/>
      <c r="AN51" s="46">
        <v>4458</v>
      </c>
      <c r="AO51" s="108"/>
      <c r="AP51" s="77">
        <f t="shared" si="3"/>
        <v>0</v>
      </c>
      <c r="AQ51" s="77">
        <f t="shared" si="3"/>
        <v>1</v>
      </c>
      <c r="AR51" s="77">
        <f t="shared" si="3"/>
        <v>0</v>
      </c>
      <c r="AS51" s="77">
        <f t="shared" si="3"/>
        <v>0</v>
      </c>
      <c r="AT51" s="77">
        <f t="shared" si="3"/>
        <v>0</v>
      </c>
      <c r="AU51" s="77">
        <f t="shared" si="3"/>
        <v>0</v>
      </c>
      <c r="AV51" s="79">
        <f t="shared" si="3"/>
        <v>0</v>
      </c>
      <c r="AX51" s="70"/>
      <c r="AY51" s="55" t="s">
        <v>108</v>
      </c>
      <c r="AZ51" s="55">
        <v>2489</v>
      </c>
      <c r="BA51" s="55" t="s">
        <v>109</v>
      </c>
      <c r="BB51" s="55" t="s">
        <v>96</v>
      </c>
      <c r="BC51" s="57" t="s">
        <v>195</v>
      </c>
      <c r="BD51" s="57">
        <v>3379</v>
      </c>
      <c r="BE51" s="54">
        <f t="shared" si="6"/>
        <v>0</v>
      </c>
      <c r="BF51" s="53"/>
    </row>
    <row r="52" spans="1:58" ht="15" thickBot="1" x14ac:dyDescent="0.35">
      <c r="A52" s="9" t="s">
        <v>226</v>
      </c>
      <c r="B52" s="10" t="s">
        <v>227</v>
      </c>
      <c r="C52" s="10" t="s">
        <v>228</v>
      </c>
      <c r="D52" s="10"/>
      <c r="E52" s="10"/>
      <c r="F52" s="10"/>
      <c r="G52" s="10">
        <v>1567</v>
      </c>
      <c r="H52" s="10">
        <v>1339</v>
      </c>
      <c r="I52" s="10"/>
      <c r="J52" s="10"/>
      <c r="K52" s="10"/>
      <c r="L52" s="10">
        <v>2566</v>
      </c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F52" s="103"/>
      <c r="AG52" s="41" t="s">
        <v>226</v>
      </c>
      <c r="AH52" s="42" t="s">
        <v>227</v>
      </c>
      <c r="AI52" s="42" t="s">
        <v>228</v>
      </c>
      <c r="AJ52" s="42">
        <v>1567</v>
      </c>
      <c r="AK52" s="42">
        <v>1339</v>
      </c>
      <c r="AL52" s="42">
        <v>2566</v>
      </c>
      <c r="AM52" s="42"/>
      <c r="AN52" s="47">
        <v>4459</v>
      </c>
      <c r="AO52" s="109"/>
      <c r="AP52" s="80">
        <f t="shared" si="3"/>
        <v>0</v>
      </c>
      <c r="AQ52" s="80">
        <f t="shared" si="3"/>
        <v>1</v>
      </c>
      <c r="AR52" s="80">
        <f t="shared" si="3"/>
        <v>0</v>
      </c>
      <c r="AS52" s="80">
        <f t="shared" si="3"/>
        <v>1</v>
      </c>
      <c r="AT52" s="80">
        <f t="shared" si="3"/>
        <v>0</v>
      </c>
      <c r="AU52" s="80">
        <f t="shared" si="3"/>
        <v>0</v>
      </c>
      <c r="AV52" s="81">
        <f t="shared" si="3"/>
        <v>0</v>
      </c>
      <c r="AX52" s="70"/>
      <c r="AY52" s="55">
        <v>1347</v>
      </c>
      <c r="AZ52" s="55">
        <v>1668</v>
      </c>
      <c r="BA52" s="55" t="s">
        <v>113</v>
      </c>
      <c r="BB52" s="55">
        <v>1344</v>
      </c>
      <c r="BC52" s="57">
        <v>1488</v>
      </c>
      <c r="BD52" s="57">
        <v>3457</v>
      </c>
      <c r="BE52" s="54">
        <f t="shared" si="6"/>
        <v>0</v>
      </c>
      <c r="BF52" s="53"/>
    </row>
    <row r="53" spans="1:58" ht="14.5" x14ac:dyDescent="0.3">
      <c r="A53" s="9" t="s">
        <v>229</v>
      </c>
      <c r="B53" s="10" t="s">
        <v>230</v>
      </c>
      <c r="C53" s="10" t="s">
        <v>231</v>
      </c>
      <c r="D53" s="10"/>
      <c r="E53" s="10"/>
      <c r="F53" s="10"/>
      <c r="G53" s="10">
        <v>1568</v>
      </c>
      <c r="H53" s="10">
        <v>1344</v>
      </c>
      <c r="I53" s="10"/>
      <c r="J53" s="10"/>
      <c r="K53" s="10"/>
      <c r="L53" s="10">
        <v>2577</v>
      </c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F53" s="101" t="s">
        <v>438</v>
      </c>
      <c r="AG53" s="39" t="s">
        <v>229</v>
      </c>
      <c r="AH53" s="40" t="s">
        <v>230</v>
      </c>
      <c r="AI53" s="40" t="s">
        <v>231</v>
      </c>
      <c r="AJ53" s="40">
        <v>1568</v>
      </c>
      <c r="AK53" s="40">
        <v>1344</v>
      </c>
      <c r="AL53" s="40">
        <v>2577</v>
      </c>
      <c r="AM53" s="40"/>
      <c r="AN53" s="48">
        <v>4467</v>
      </c>
      <c r="AO53" s="107">
        <f t="shared" ref="AO53" si="7">SUM(AP53:AV64)</f>
        <v>23</v>
      </c>
      <c r="AP53" s="75">
        <f t="shared" si="3"/>
        <v>0</v>
      </c>
      <c r="AQ53" s="75">
        <f t="shared" si="3"/>
        <v>0</v>
      </c>
      <c r="AR53" s="75">
        <f t="shared" si="3"/>
        <v>0</v>
      </c>
      <c r="AS53" s="75">
        <f t="shared" si="3"/>
        <v>4</v>
      </c>
      <c r="AT53" s="75">
        <f t="shared" si="3"/>
        <v>0</v>
      </c>
      <c r="AU53" s="75">
        <f t="shared" si="3"/>
        <v>0</v>
      </c>
      <c r="AV53" s="76">
        <f t="shared" si="3"/>
        <v>0</v>
      </c>
      <c r="AX53" s="70"/>
      <c r="AY53" s="55">
        <v>5689</v>
      </c>
      <c r="AZ53" s="55">
        <v>1367</v>
      </c>
      <c r="BA53" s="55">
        <v>1356</v>
      </c>
      <c r="BB53" s="55">
        <v>6667</v>
      </c>
      <c r="BC53" s="57">
        <v>2378</v>
      </c>
      <c r="BD53" s="57">
        <v>2278</v>
      </c>
      <c r="BE53" s="54">
        <f t="shared" si="6"/>
        <v>0</v>
      </c>
      <c r="BF53" s="53"/>
    </row>
    <row r="54" spans="1:58" ht="14.5" x14ac:dyDescent="0.3">
      <c r="A54" s="9" t="s">
        <v>232</v>
      </c>
      <c r="B54" s="10" t="s">
        <v>233</v>
      </c>
      <c r="C54" s="10" t="s">
        <v>113</v>
      </c>
      <c r="D54" s="10"/>
      <c r="E54" s="10"/>
      <c r="F54" s="10"/>
      <c r="G54" s="10">
        <v>1569</v>
      </c>
      <c r="H54" s="10">
        <v>1355</v>
      </c>
      <c r="I54" s="10"/>
      <c r="J54" s="10"/>
      <c r="K54" s="10"/>
      <c r="L54" s="10">
        <v>2588</v>
      </c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F54" s="102"/>
      <c r="AG54" s="9" t="s">
        <v>232</v>
      </c>
      <c r="AH54" s="10" t="s">
        <v>233</v>
      </c>
      <c r="AI54" s="10" t="s">
        <v>113</v>
      </c>
      <c r="AJ54" s="10">
        <v>1569</v>
      </c>
      <c r="AK54" s="10">
        <v>1355</v>
      </c>
      <c r="AL54" s="10">
        <v>2588</v>
      </c>
      <c r="AM54" s="10"/>
      <c r="AN54" s="46">
        <v>4468</v>
      </c>
      <c r="AO54" s="108"/>
      <c r="AP54" s="77">
        <f t="shared" si="3"/>
        <v>0</v>
      </c>
      <c r="AQ54" s="77">
        <f t="shared" si="3"/>
        <v>1</v>
      </c>
      <c r="AR54" s="77">
        <f t="shared" si="3"/>
        <v>0</v>
      </c>
      <c r="AS54" s="77">
        <f t="shared" si="3"/>
        <v>2</v>
      </c>
      <c r="AT54" s="77">
        <f t="shared" si="3"/>
        <v>0</v>
      </c>
      <c r="AU54" s="77">
        <f t="shared" si="3"/>
        <v>0</v>
      </c>
      <c r="AV54" s="79">
        <f t="shared" si="3"/>
        <v>0</v>
      </c>
      <c r="AX54" s="70" t="s">
        <v>122</v>
      </c>
      <c r="AY54" s="55">
        <v>1679</v>
      </c>
      <c r="AZ54" s="55" t="s">
        <v>49</v>
      </c>
      <c r="BA54" s="55">
        <v>2356</v>
      </c>
      <c r="BB54" s="55">
        <v>2489</v>
      </c>
      <c r="BC54" s="57" t="s">
        <v>215</v>
      </c>
      <c r="BD54" s="57">
        <v>7899</v>
      </c>
      <c r="BE54" s="54">
        <f t="shared" si="6"/>
        <v>0</v>
      </c>
      <c r="BF54" s="53"/>
    </row>
    <row r="55" spans="1:58" ht="14.5" x14ac:dyDescent="0.3">
      <c r="A55" s="9" t="s">
        <v>234</v>
      </c>
      <c r="B55" s="10" t="s">
        <v>235</v>
      </c>
      <c r="C55" s="10" t="s">
        <v>236</v>
      </c>
      <c r="D55" s="10"/>
      <c r="E55" s="10"/>
      <c r="F55" s="10"/>
      <c r="G55" s="10">
        <v>1577</v>
      </c>
      <c r="H55" s="10">
        <v>1377</v>
      </c>
      <c r="I55" s="10"/>
      <c r="J55" s="10"/>
      <c r="K55" s="10"/>
      <c r="L55" s="10">
        <v>2599</v>
      </c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F55" s="102"/>
      <c r="AG55" s="9" t="s">
        <v>234</v>
      </c>
      <c r="AH55" s="10" t="s">
        <v>235</v>
      </c>
      <c r="AI55" s="10" t="s">
        <v>236</v>
      </c>
      <c r="AJ55" s="10">
        <v>1577</v>
      </c>
      <c r="AK55" s="10">
        <v>1377</v>
      </c>
      <c r="AL55" s="10">
        <v>2599</v>
      </c>
      <c r="AM55" s="10"/>
      <c r="AN55" s="46">
        <v>4469</v>
      </c>
      <c r="AO55" s="108"/>
      <c r="AP55" s="77">
        <f t="shared" si="3"/>
        <v>0</v>
      </c>
      <c r="AQ55" s="77">
        <f t="shared" si="3"/>
        <v>0</v>
      </c>
      <c r="AR55" s="77">
        <f t="shared" si="3"/>
        <v>1</v>
      </c>
      <c r="AS55" s="77">
        <f t="shared" si="3"/>
        <v>0</v>
      </c>
      <c r="AT55" s="77">
        <f t="shared" si="3"/>
        <v>0</v>
      </c>
      <c r="AU55" s="77">
        <f t="shared" si="3"/>
        <v>0</v>
      </c>
      <c r="AV55" s="79">
        <f t="shared" si="3"/>
        <v>1</v>
      </c>
      <c r="AX55" s="70"/>
      <c r="AY55" s="55">
        <v>5578</v>
      </c>
      <c r="AZ55" s="55">
        <v>1356</v>
      </c>
      <c r="BA55" s="55">
        <v>1355</v>
      </c>
      <c r="BB55" s="55">
        <v>5699</v>
      </c>
      <c r="BC55" s="57">
        <v>3467</v>
      </c>
      <c r="BD55" s="57">
        <v>4579</v>
      </c>
      <c r="BE55" s="54">
        <f t="shared" si="6"/>
        <v>0</v>
      </c>
      <c r="BF55" s="53"/>
    </row>
    <row r="56" spans="1:58" ht="14.5" x14ac:dyDescent="0.3">
      <c r="A56" s="9" t="s">
        <v>237</v>
      </c>
      <c r="B56" s="10" t="s">
        <v>238</v>
      </c>
      <c r="C56" s="10" t="s">
        <v>239</v>
      </c>
      <c r="D56" s="10"/>
      <c r="E56" s="10"/>
      <c r="F56" s="10"/>
      <c r="G56" s="10">
        <v>1578</v>
      </c>
      <c r="H56" s="10">
        <v>1388</v>
      </c>
      <c r="I56" s="10"/>
      <c r="J56" s="10"/>
      <c r="K56" s="10"/>
      <c r="L56" s="10">
        <v>2667</v>
      </c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F56" s="102"/>
      <c r="AG56" s="9" t="s">
        <v>237</v>
      </c>
      <c r="AH56" s="10" t="s">
        <v>238</v>
      </c>
      <c r="AI56" s="10" t="s">
        <v>239</v>
      </c>
      <c r="AJ56" s="10">
        <v>1578</v>
      </c>
      <c r="AK56" s="10">
        <v>1388</v>
      </c>
      <c r="AL56" s="10">
        <v>2667</v>
      </c>
      <c r="AM56" s="10"/>
      <c r="AN56" s="46">
        <v>4478</v>
      </c>
      <c r="AO56" s="108"/>
      <c r="AP56" s="77">
        <f t="shared" si="3"/>
        <v>0</v>
      </c>
      <c r="AQ56" s="77">
        <f t="shared" si="3"/>
        <v>0</v>
      </c>
      <c r="AR56" s="77">
        <f t="shared" si="3"/>
        <v>1</v>
      </c>
      <c r="AS56" s="77">
        <f t="shared" si="3"/>
        <v>3</v>
      </c>
      <c r="AT56" s="77">
        <f t="shared" si="3"/>
        <v>0</v>
      </c>
      <c r="AU56" s="77">
        <f t="shared" si="3"/>
        <v>0</v>
      </c>
      <c r="AV56" s="79">
        <f t="shared" si="3"/>
        <v>0</v>
      </c>
      <c r="AX56" s="70"/>
      <c r="AY56" s="55">
        <v>1344</v>
      </c>
      <c r="AZ56" s="55" t="s">
        <v>94</v>
      </c>
      <c r="BA56" s="55" t="s">
        <v>106</v>
      </c>
      <c r="BB56" s="55">
        <v>1356</v>
      </c>
      <c r="BC56" s="57">
        <v>4469</v>
      </c>
      <c r="BD56" s="57">
        <v>1578</v>
      </c>
      <c r="BE56" s="54">
        <f t="shared" si="6"/>
        <v>0</v>
      </c>
      <c r="BF56" s="53"/>
    </row>
    <row r="57" spans="1:58" ht="14.5" x14ac:dyDescent="0.3">
      <c r="A57" s="9" t="s">
        <v>240</v>
      </c>
      <c r="B57" s="10" t="s">
        <v>241</v>
      </c>
      <c r="C57" s="10" t="s">
        <v>242</v>
      </c>
      <c r="D57" s="10"/>
      <c r="E57" s="10"/>
      <c r="F57" s="10"/>
      <c r="G57" s="10">
        <v>1579</v>
      </c>
      <c r="H57" s="10">
        <v>1399</v>
      </c>
      <c r="I57" s="10"/>
      <c r="J57" s="10"/>
      <c r="K57" s="10"/>
      <c r="L57" s="10">
        <v>2668</v>
      </c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F57" s="102"/>
      <c r="AG57" s="9" t="s">
        <v>240</v>
      </c>
      <c r="AH57" s="10" t="s">
        <v>241</v>
      </c>
      <c r="AI57" s="10" t="s">
        <v>242</v>
      </c>
      <c r="AJ57" s="10">
        <v>1579</v>
      </c>
      <c r="AK57" s="10">
        <v>1399</v>
      </c>
      <c r="AL57" s="10">
        <v>2668</v>
      </c>
      <c r="AM57" s="10"/>
      <c r="AN57" s="46">
        <v>4479</v>
      </c>
      <c r="AO57" s="108"/>
      <c r="AP57" s="77">
        <f t="shared" si="3"/>
        <v>0</v>
      </c>
      <c r="AQ57" s="77">
        <f t="shared" si="3"/>
        <v>0</v>
      </c>
      <c r="AR57" s="77">
        <f t="shared" si="3"/>
        <v>0</v>
      </c>
      <c r="AS57" s="77">
        <f t="shared" si="3"/>
        <v>0</v>
      </c>
      <c r="AT57" s="77">
        <f t="shared" si="3"/>
        <v>0</v>
      </c>
      <c r="AU57" s="77">
        <f t="shared" si="3"/>
        <v>0</v>
      </c>
      <c r="AV57" s="79">
        <f t="shared" si="3"/>
        <v>0</v>
      </c>
      <c r="AX57" s="70"/>
      <c r="AY57" s="55">
        <v>1457</v>
      </c>
      <c r="AZ57" s="55" t="s">
        <v>135</v>
      </c>
      <c r="BA57" s="55">
        <v>3599</v>
      </c>
      <c r="BB57" s="55">
        <v>1347</v>
      </c>
      <c r="BC57" s="57" t="s">
        <v>88</v>
      </c>
      <c r="BD57" s="57">
        <v>1577</v>
      </c>
      <c r="BE57" s="54">
        <f t="shared" si="6"/>
        <v>0</v>
      </c>
      <c r="BF57" s="53"/>
    </row>
    <row r="58" spans="1:58" ht="14.5" x14ac:dyDescent="0.3">
      <c r="A58" s="9" t="s">
        <v>243</v>
      </c>
      <c r="B58" s="10" t="s">
        <v>244</v>
      </c>
      <c r="C58" s="10" t="s">
        <v>245</v>
      </c>
      <c r="D58" s="10"/>
      <c r="E58" s="10"/>
      <c r="F58" s="10"/>
      <c r="G58" s="10">
        <v>1589</v>
      </c>
      <c r="H58" s="10">
        <v>1445</v>
      </c>
      <c r="I58" s="10"/>
      <c r="J58" s="10"/>
      <c r="K58" s="10"/>
      <c r="L58" s="10">
        <v>2669</v>
      </c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F58" s="102"/>
      <c r="AG58" s="9" t="s">
        <v>243</v>
      </c>
      <c r="AH58" s="10" t="s">
        <v>244</v>
      </c>
      <c r="AI58" s="10" t="s">
        <v>245</v>
      </c>
      <c r="AJ58" s="10">
        <v>1589</v>
      </c>
      <c r="AK58" s="10">
        <v>1445</v>
      </c>
      <c r="AL58" s="10">
        <v>2669</v>
      </c>
      <c r="AM58" s="10"/>
      <c r="AN58" s="46">
        <v>4489</v>
      </c>
      <c r="AO58" s="108"/>
      <c r="AP58" s="77">
        <f t="shared" si="3"/>
        <v>0</v>
      </c>
      <c r="AQ58" s="77">
        <f t="shared" si="3"/>
        <v>0</v>
      </c>
      <c r="AR58" s="77">
        <f t="shared" si="3"/>
        <v>1</v>
      </c>
      <c r="AS58" s="77">
        <f t="shared" ref="AS58:AV112" si="8">COUNTIF($AZ$6:$FT$28,AK58)</f>
        <v>0</v>
      </c>
      <c r="AT58" s="77">
        <f t="shared" si="8"/>
        <v>0</v>
      </c>
      <c r="AU58" s="77">
        <f t="shared" si="8"/>
        <v>0</v>
      </c>
      <c r="AV58" s="79">
        <f t="shared" si="8"/>
        <v>0</v>
      </c>
      <c r="AX58" s="70"/>
      <c r="AY58" s="55">
        <v>3568</v>
      </c>
      <c r="AZ58" s="55" t="s">
        <v>95</v>
      </c>
      <c r="BA58" s="55" t="s">
        <v>139</v>
      </c>
      <c r="BB58" s="55">
        <v>1679</v>
      </c>
      <c r="BC58" s="57" t="s">
        <v>135</v>
      </c>
      <c r="BD58" s="57" t="s">
        <v>248</v>
      </c>
      <c r="BE58" s="54">
        <f t="shared" si="6"/>
        <v>0</v>
      </c>
      <c r="BF58" s="53"/>
    </row>
    <row r="59" spans="1:58" ht="14.5" x14ac:dyDescent="0.3">
      <c r="A59" s="9" t="s">
        <v>246</v>
      </c>
      <c r="B59" s="10" t="s">
        <v>247</v>
      </c>
      <c r="C59" s="10" t="s">
        <v>248</v>
      </c>
      <c r="D59" s="10"/>
      <c r="E59" s="10"/>
      <c r="F59" s="10"/>
      <c r="G59" s="10">
        <v>1678</v>
      </c>
      <c r="H59" s="10">
        <v>1446</v>
      </c>
      <c r="I59" s="10"/>
      <c r="J59" s="10"/>
      <c r="K59" s="10"/>
      <c r="L59" s="10">
        <v>2677</v>
      </c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F59" s="102"/>
      <c r="AG59" s="9" t="s">
        <v>246</v>
      </c>
      <c r="AH59" s="10" t="s">
        <v>247</v>
      </c>
      <c r="AI59" s="10" t="s">
        <v>248</v>
      </c>
      <c r="AJ59" s="10">
        <v>1678</v>
      </c>
      <c r="AK59" s="10">
        <v>1446</v>
      </c>
      <c r="AL59" s="10">
        <v>2677</v>
      </c>
      <c r="AM59" s="10"/>
      <c r="AN59" s="46">
        <v>4556</v>
      </c>
      <c r="AO59" s="108"/>
      <c r="AP59" s="77">
        <f t="shared" ref="AP59:AR112" si="9">COUNTIF($AZ$6:$FT$28,AH59)</f>
        <v>0</v>
      </c>
      <c r="AQ59" s="77">
        <f t="shared" si="9"/>
        <v>1</v>
      </c>
      <c r="AR59" s="77">
        <f t="shared" si="9"/>
        <v>0</v>
      </c>
      <c r="AS59" s="77">
        <f t="shared" si="8"/>
        <v>0</v>
      </c>
      <c r="AT59" s="77">
        <f t="shared" si="8"/>
        <v>0</v>
      </c>
      <c r="AU59" s="77">
        <f t="shared" si="8"/>
        <v>0</v>
      </c>
      <c r="AV59" s="79">
        <f t="shared" si="8"/>
        <v>0</v>
      </c>
      <c r="AX59" s="70"/>
      <c r="AY59" s="55">
        <v>1137</v>
      </c>
      <c r="AZ59" s="55">
        <v>1589</v>
      </c>
      <c r="BA59" s="55" t="s">
        <v>143</v>
      </c>
      <c r="BB59" s="55">
        <v>1457</v>
      </c>
      <c r="BC59" s="57">
        <v>2356</v>
      </c>
      <c r="BD59" s="57">
        <v>4679</v>
      </c>
      <c r="BE59" s="54">
        <f t="shared" si="6"/>
        <v>0</v>
      </c>
      <c r="BF59" s="53"/>
    </row>
    <row r="60" spans="1:58" ht="14.5" x14ac:dyDescent="0.3">
      <c r="A60" s="9" t="s">
        <v>249</v>
      </c>
      <c r="B60" s="10" t="s">
        <v>250</v>
      </c>
      <c r="C60" s="10" t="s">
        <v>251</v>
      </c>
      <c r="D60" s="10"/>
      <c r="E60" s="10"/>
      <c r="F60" s="10"/>
      <c r="G60" s="10">
        <v>1679</v>
      </c>
      <c r="H60" s="10">
        <v>1447</v>
      </c>
      <c r="I60" s="10"/>
      <c r="J60" s="10"/>
      <c r="K60" s="10"/>
      <c r="L60" s="10">
        <v>2688</v>
      </c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F60" s="102"/>
      <c r="AG60" s="9" t="s">
        <v>249</v>
      </c>
      <c r="AH60" s="10" t="s">
        <v>250</v>
      </c>
      <c r="AI60" s="10" t="s">
        <v>251</v>
      </c>
      <c r="AJ60" s="10">
        <v>1679</v>
      </c>
      <c r="AK60" s="10">
        <v>1447</v>
      </c>
      <c r="AL60" s="10">
        <v>2688</v>
      </c>
      <c r="AM60" s="10"/>
      <c r="AN60" s="46">
        <v>4557</v>
      </c>
      <c r="AO60" s="108"/>
      <c r="AP60" s="77">
        <f t="shared" si="9"/>
        <v>0</v>
      </c>
      <c r="AQ60" s="77">
        <f t="shared" si="9"/>
        <v>0</v>
      </c>
      <c r="AR60" s="77">
        <f t="shared" si="9"/>
        <v>3</v>
      </c>
      <c r="AS60" s="77">
        <f t="shared" si="8"/>
        <v>1</v>
      </c>
      <c r="AT60" s="77">
        <f t="shared" si="8"/>
        <v>0</v>
      </c>
      <c r="AU60" s="77">
        <f t="shared" si="8"/>
        <v>0</v>
      </c>
      <c r="AV60" s="79">
        <f t="shared" si="8"/>
        <v>1</v>
      </c>
      <c r="AX60" s="70"/>
      <c r="AY60" s="55">
        <v>1335</v>
      </c>
      <c r="AZ60" s="55">
        <v>1335</v>
      </c>
      <c r="BA60" s="55">
        <v>1456</v>
      </c>
      <c r="BB60" s="55">
        <v>3568</v>
      </c>
      <c r="BC60" s="57">
        <v>2355</v>
      </c>
      <c r="BD60" s="57">
        <v>4568</v>
      </c>
      <c r="BE60" s="54">
        <f t="shared" si="6"/>
        <v>0</v>
      </c>
      <c r="BF60" s="53"/>
    </row>
    <row r="61" spans="1:58" ht="14.5" x14ac:dyDescent="0.3">
      <c r="A61" s="9" t="s">
        <v>252</v>
      </c>
      <c r="B61" s="10" t="s">
        <v>253</v>
      </c>
      <c r="C61" s="10" t="s">
        <v>254</v>
      </c>
      <c r="D61" s="10"/>
      <c r="E61" s="10"/>
      <c r="F61" s="10"/>
      <c r="G61" s="10">
        <v>1689</v>
      </c>
      <c r="H61" s="10">
        <v>1448</v>
      </c>
      <c r="I61" s="10"/>
      <c r="J61" s="10"/>
      <c r="K61" s="10"/>
      <c r="L61" s="10">
        <v>2699</v>
      </c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F61" s="102"/>
      <c r="AG61" s="9" t="s">
        <v>252</v>
      </c>
      <c r="AH61" s="10" t="s">
        <v>253</v>
      </c>
      <c r="AI61" s="10" t="s">
        <v>254</v>
      </c>
      <c r="AJ61" s="10">
        <v>1689</v>
      </c>
      <c r="AK61" s="10">
        <v>1448</v>
      </c>
      <c r="AL61" s="10">
        <v>2699</v>
      </c>
      <c r="AM61" s="10"/>
      <c r="AN61" s="46">
        <v>4558</v>
      </c>
      <c r="AO61" s="108"/>
      <c r="AP61" s="77">
        <f t="shared" si="9"/>
        <v>0</v>
      </c>
      <c r="AQ61" s="77">
        <f t="shared" si="9"/>
        <v>0</v>
      </c>
      <c r="AR61" s="77">
        <f t="shared" si="9"/>
        <v>0</v>
      </c>
      <c r="AS61" s="77">
        <f t="shared" si="8"/>
        <v>0</v>
      </c>
      <c r="AT61" s="77">
        <f t="shared" si="8"/>
        <v>0</v>
      </c>
      <c r="AU61" s="77">
        <f t="shared" si="8"/>
        <v>0</v>
      </c>
      <c r="AV61" s="79">
        <f t="shared" si="8"/>
        <v>0</v>
      </c>
      <c r="AX61" s="70"/>
      <c r="AY61" s="55" t="s">
        <v>149</v>
      </c>
      <c r="AZ61" s="55">
        <v>1246</v>
      </c>
      <c r="BA61" s="55">
        <v>2448</v>
      </c>
      <c r="BB61" s="55">
        <v>1335</v>
      </c>
      <c r="BC61" s="57" t="s">
        <v>314</v>
      </c>
      <c r="BD61" s="57">
        <v>6666</v>
      </c>
      <c r="BE61" s="54">
        <f t="shared" si="6"/>
        <v>0</v>
      </c>
      <c r="BF61" s="53"/>
    </row>
    <row r="62" spans="1:58" ht="14.5" x14ac:dyDescent="0.3">
      <c r="A62" s="9" t="s">
        <v>255</v>
      </c>
      <c r="B62" s="10" t="s">
        <v>256</v>
      </c>
      <c r="C62" s="10" t="s">
        <v>257</v>
      </c>
      <c r="D62" s="10"/>
      <c r="E62" s="10"/>
      <c r="F62" s="10"/>
      <c r="G62" s="10">
        <v>1789</v>
      </c>
      <c r="H62" s="10">
        <v>1449</v>
      </c>
      <c r="I62" s="10"/>
      <c r="J62" s="10"/>
      <c r="K62" s="10"/>
      <c r="L62" s="10">
        <v>2778</v>
      </c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F62" s="102"/>
      <c r="AG62" s="9" t="s">
        <v>255</v>
      </c>
      <c r="AH62" s="10" t="s">
        <v>256</v>
      </c>
      <c r="AI62" s="10" t="s">
        <v>257</v>
      </c>
      <c r="AJ62" s="10">
        <v>1789</v>
      </c>
      <c r="AK62" s="10">
        <v>1449</v>
      </c>
      <c r="AL62" s="10">
        <v>2778</v>
      </c>
      <c r="AM62" s="10"/>
      <c r="AN62" s="46">
        <v>4559</v>
      </c>
      <c r="AO62" s="108"/>
      <c r="AP62" s="77">
        <f t="shared" si="9"/>
        <v>0</v>
      </c>
      <c r="AQ62" s="77">
        <f t="shared" si="9"/>
        <v>0</v>
      </c>
      <c r="AR62" s="77">
        <f t="shared" si="9"/>
        <v>0</v>
      </c>
      <c r="AS62" s="77">
        <f t="shared" si="8"/>
        <v>0</v>
      </c>
      <c r="AT62" s="77">
        <f t="shared" si="8"/>
        <v>0</v>
      </c>
      <c r="AU62" s="77">
        <f t="shared" si="8"/>
        <v>0</v>
      </c>
      <c r="AV62" s="79">
        <f t="shared" si="8"/>
        <v>0</v>
      </c>
      <c r="AX62" s="70"/>
      <c r="AY62" s="55">
        <v>1148</v>
      </c>
      <c r="AZ62" s="55" t="s">
        <v>153</v>
      </c>
      <c r="BA62" s="55">
        <v>3668</v>
      </c>
      <c r="BB62" s="55">
        <v>2448</v>
      </c>
      <c r="BC62" s="57">
        <v>1378</v>
      </c>
      <c r="BD62" s="57">
        <v>1258</v>
      </c>
      <c r="BE62" s="54">
        <f t="shared" si="6"/>
        <v>0</v>
      </c>
      <c r="BF62" s="53"/>
    </row>
    <row r="63" spans="1:58" ht="14.5" x14ac:dyDescent="0.3">
      <c r="A63" s="9" t="s">
        <v>258</v>
      </c>
      <c r="B63" s="10" t="s">
        <v>64</v>
      </c>
      <c r="C63" s="10" t="s">
        <v>259</v>
      </c>
      <c r="D63" s="10"/>
      <c r="E63" s="10"/>
      <c r="F63" s="10"/>
      <c r="G63" s="10"/>
      <c r="H63" s="10">
        <v>1455</v>
      </c>
      <c r="I63" s="10"/>
      <c r="J63" s="10"/>
      <c r="K63" s="10"/>
      <c r="L63" s="10">
        <v>2779</v>
      </c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F63" s="102"/>
      <c r="AG63" s="9" t="s">
        <v>258</v>
      </c>
      <c r="AH63" s="10" t="s">
        <v>64</v>
      </c>
      <c r="AI63" s="10" t="s">
        <v>259</v>
      </c>
      <c r="AJ63" s="10">
        <v>2345</v>
      </c>
      <c r="AK63" s="10">
        <v>1455</v>
      </c>
      <c r="AL63" s="10">
        <v>2779</v>
      </c>
      <c r="AM63" s="10"/>
      <c r="AN63" s="46">
        <v>4566</v>
      </c>
      <c r="AO63" s="108"/>
      <c r="AP63" s="77">
        <f t="shared" si="9"/>
        <v>1</v>
      </c>
      <c r="AQ63" s="77">
        <f t="shared" si="9"/>
        <v>0</v>
      </c>
      <c r="AR63" s="77">
        <f t="shared" si="9"/>
        <v>0</v>
      </c>
      <c r="AS63" s="77">
        <f t="shared" si="8"/>
        <v>1</v>
      </c>
      <c r="AT63" s="77">
        <f t="shared" si="8"/>
        <v>0</v>
      </c>
      <c r="AU63" s="77">
        <f t="shared" si="8"/>
        <v>0</v>
      </c>
      <c r="AV63" s="79">
        <f t="shared" si="8"/>
        <v>1</v>
      </c>
      <c r="AX63" s="70"/>
      <c r="AY63" s="55">
        <v>1277</v>
      </c>
      <c r="AZ63" s="55">
        <v>2678</v>
      </c>
      <c r="BA63" s="55" t="s">
        <v>103</v>
      </c>
      <c r="BB63" s="55" t="s">
        <v>103</v>
      </c>
      <c r="BC63" s="57">
        <v>3358</v>
      </c>
      <c r="BD63" s="57" t="s">
        <v>120</v>
      </c>
      <c r="BE63" s="54">
        <f t="shared" si="6"/>
        <v>0</v>
      </c>
      <c r="BF63" s="53"/>
    </row>
    <row r="64" spans="1:58" ht="15" thickBot="1" x14ac:dyDescent="0.35">
      <c r="A64" s="9" t="s">
        <v>260</v>
      </c>
      <c r="B64" s="10" t="s">
        <v>261</v>
      </c>
      <c r="C64" s="10" t="s">
        <v>262</v>
      </c>
      <c r="D64" s="10"/>
      <c r="E64" s="10"/>
      <c r="F64" s="10"/>
      <c r="G64" s="10"/>
      <c r="H64" s="10">
        <v>1466</v>
      </c>
      <c r="I64" s="10"/>
      <c r="J64" s="10"/>
      <c r="K64" s="10"/>
      <c r="L64" s="10">
        <v>2788</v>
      </c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F64" s="103"/>
      <c r="AG64" s="41" t="s">
        <v>260</v>
      </c>
      <c r="AH64" s="42" t="s">
        <v>261</v>
      </c>
      <c r="AI64" s="42" t="s">
        <v>262</v>
      </c>
      <c r="AJ64" s="42">
        <v>2346</v>
      </c>
      <c r="AK64" s="42">
        <v>1466</v>
      </c>
      <c r="AL64" s="42">
        <v>2788</v>
      </c>
      <c r="AM64" s="42"/>
      <c r="AN64" s="47">
        <v>4577</v>
      </c>
      <c r="AO64" s="109"/>
      <c r="AP64" s="80">
        <f t="shared" si="9"/>
        <v>0</v>
      </c>
      <c r="AQ64" s="80">
        <f t="shared" si="9"/>
        <v>0</v>
      </c>
      <c r="AR64" s="80">
        <f t="shared" si="9"/>
        <v>0</v>
      </c>
      <c r="AS64" s="80">
        <f t="shared" si="8"/>
        <v>0</v>
      </c>
      <c r="AT64" s="80">
        <f t="shared" si="8"/>
        <v>0</v>
      </c>
      <c r="AU64" s="80">
        <f t="shared" si="8"/>
        <v>0</v>
      </c>
      <c r="AV64" s="81">
        <f t="shared" si="8"/>
        <v>0</v>
      </c>
      <c r="BC64" s="73">
        <v>0.17</v>
      </c>
      <c r="BD64" s="74">
        <f>2/23</f>
        <v>8.6956521739130432E-2</v>
      </c>
    </row>
    <row r="65" spans="1:48" ht="14.5" x14ac:dyDescent="0.3">
      <c r="A65" s="9" t="s">
        <v>263</v>
      </c>
      <c r="B65" s="10" t="s">
        <v>264</v>
      </c>
      <c r="C65" s="10" t="s">
        <v>265</v>
      </c>
      <c r="D65" s="10"/>
      <c r="E65" s="10"/>
      <c r="F65" s="10"/>
      <c r="G65" s="10"/>
      <c r="H65" s="10">
        <v>1477</v>
      </c>
      <c r="I65" s="10"/>
      <c r="J65" s="10"/>
      <c r="K65" s="10"/>
      <c r="L65" s="10">
        <v>2799</v>
      </c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F65" s="101" t="s">
        <v>439</v>
      </c>
      <c r="AG65" s="39" t="s">
        <v>263</v>
      </c>
      <c r="AH65" s="40" t="s">
        <v>264</v>
      </c>
      <c r="AI65" s="40" t="s">
        <v>265</v>
      </c>
      <c r="AJ65" s="40">
        <v>2347</v>
      </c>
      <c r="AK65" s="40">
        <v>1477</v>
      </c>
      <c r="AL65" s="40">
        <v>2799</v>
      </c>
      <c r="AM65" s="40"/>
      <c r="AN65" s="48">
        <v>4588</v>
      </c>
      <c r="AO65" s="107">
        <f t="shared" ref="AO65" si="10">SUM(AP65:AV76)</f>
        <v>22</v>
      </c>
      <c r="AP65" s="75">
        <f t="shared" si="9"/>
        <v>0</v>
      </c>
      <c r="AQ65" s="75">
        <f t="shared" si="9"/>
        <v>0</v>
      </c>
      <c r="AR65" s="75">
        <f t="shared" si="9"/>
        <v>0</v>
      </c>
      <c r="AS65" s="75">
        <f t="shared" si="8"/>
        <v>0</v>
      </c>
      <c r="AT65" s="75">
        <f t="shared" si="8"/>
        <v>0</v>
      </c>
      <c r="AU65" s="75">
        <f t="shared" si="8"/>
        <v>0</v>
      </c>
      <c r="AV65" s="76">
        <f t="shared" si="8"/>
        <v>1</v>
      </c>
    </row>
    <row r="66" spans="1:48" ht="14.5" x14ac:dyDescent="0.3">
      <c r="A66" s="9" t="s">
        <v>266</v>
      </c>
      <c r="B66" s="10" t="s">
        <v>267</v>
      </c>
      <c r="C66" s="10" t="s">
        <v>268</v>
      </c>
      <c r="D66" s="10"/>
      <c r="E66" s="10"/>
      <c r="F66" s="10"/>
      <c r="G66" s="10"/>
      <c r="H66" s="10">
        <v>1488</v>
      </c>
      <c r="I66" s="10"/>
      <c r="J66" s="10"/>
      <c r="K66" s="10"/>
      <c r="L66" s="10">
        <v>2889</v>
      </c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F66" s="102"/>
      <c r="AG66" s="9" t="s">
        <v>266</v>
      </c>
      <c r="AH66" s="10" t="s">
        <v>267</v>
      </c>
      <c r="AI66" s="10" t="s">
        <v>268</v>
      </c>
      <c r="AJ66" s="10">
        <v>2348</v>
      </c>
      <c r="AK66" s="10">
        <v>1488</v>
      </c>
      <c r="AL66" s="10">
        <v>2889</v>
      </c>
      <c r="AM66" s="10"/>
      <c r="AN66" s="46">
        <v>4599</v>
      </c>
      <c r="AO66" s="108"/>
      <c r="AP66" s="77">
        <f t="shared" si="9"/>
        <v>0</v>
      </c>
      <c r="AQ66" s="77">
        <f t="shared" si="9"/>
        <v>0</v>
      </c>
      <c r="AR66" s="77">
        <f t="shared" si="9"/>
        <v>0</v>
      </c>
      <c r="AS66" s="77">
        <f t="shared" si="8"/>
        <v>1</v>
      </c>
      <c r="AT66" s="77">
        <f t="shared" si="8"/>
        <v>0</v>
      </c>
      <c r="AU66" s="77">
        <f t="shared" si="8"/>
        <v>0</v>
      </c>
      <c r="AV66" s="79">
        <f t="shared" si="8"/>
        <v>0</v>
      </c>
    </row>
    <row r="67" spans="1:48" ht="14.5" x14ac:dyDescent="0.3">
      <c r="A67" s="9" t="s">
        <v>269</v>
      </c>
      <c r="B67" s="10" t="s">
        <v>270</v>
      </c>
      <c r="C67" s="10" t="s">
        <v>271</v>
      </c>
      <c r="D67" s="10"/>
      <c r="E67" s="10"/>
      <c r="F67" s="10"/>
      <c r="G67" s="10"/>
      <c r="H67" s="10">
        <v>1499</v>
      </c>
      <c r="I67" s="10"/>
      <c r="J67" s="10"/>
      <c r="K67" s="10"/>
      <c r="L67" s="10">
        <v>2899</v>
      </c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F67" s="102"/>
      <c r="AG67" s="9" t="s">
        <v>269</v>
      </c>
      <c r="AH67" s="10" t="s">
        <v>270</v>
      </c>
      <c r="AI67" s="10" t="s">
        <v>271</v>
      </c>
      <c r="AJ67" s="10">
        <v>2349</v>
      </c>
      <c r="AK67" s="10">
        <v>1499</v>
      </c>
      <c r="AL67" s="10">
        <v>2899</v>
      </c>
      <c r="AM67" s="10"/>
      <c r="AN67" s="46">
        <v>4667</v>
      </c>
      <c r="AO67" s="108"/>
      <c r="AP67" s="77">
        <f t="shared" si="9"/>
        <v>0</v>
      </c>
      <c r="AQ67" s="77">
        <f t="shared" si="9"/>
        <v>0</v>
      </c>
      <c r="AR67" s="77">
        <f t="shared" si="9"/>
        <v>0</v>
      </c>
      <c r="AS67" s="77">
        <f t="shared" si="8"/>
        <v>0</v>
      </c>
      <c r="AT67" s="77">
        <f t="shared" si="8"/>
        <v>0</v>
      </c>
      <c r="AU67" s="77">
        <f t="shared" si="8"/>
        <v>0</v>
      </c>
      <c r="AV67" s="79">
        <f t="shared" si="8"/>
        <v>0</v>
      </c>
    </row>
    <row r="68" spans="1:48" ht="14.5" x14ac:dyDescent="0.3">
      <c r="A68" s="9" t="s">
        <v>272</v>
      </c>
      <c r="B68" s="10" t="s">
        <v>273</v>
      </c>
      <c r="C68" s="10" t="s">
        <v>274</v>
      </c>
      <c r="D68" s="10"/>
      <c r="E68" s="10"/>
      <c r="F68" s="10"/>
      <c r="G68" s="10"/>
      <c r="H68" s="10">
        <v>1556</v>
      </c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F68" s="102"/>
      <c r="AG68" s="9" t="s">
        <v>272</v>
      </c>
      <c r="AH68" s="10" t="s">
        <v>273</v>
      </c>
      <c r="AI68" s="10" t="s">
        <v>274</v>
      </c>
      <c r="AJ68" s="10">
        <v>2356</v>
      </c>
      <c r="AK68" s="10">
        <v>1556</v>
      </c>
      <c r="AL68" s="10"/>
      <c r="AM68" s="10"/>
      <c r="AN68" s="46">
        <v>4668</v>
      </c>
      <c r="AO68" s="108"/>
      <c r="AP68" s="77">
        <f t="shared" si="9"/>
        <v>0</v>
      </c>
      <c r="AQ68" s="77">
        <f t="shared" si="9"/>
        <v>1</v>
      </c>
      <c r="AR68" s="77">
        <f t="shared" si="9"/>
        <v>5</v>
      </c>
      <c r="AS68" s="77">
        <f t="shared" si="8"/>
        <v>0</v>
      </c>
      <c r="AT68" s="77">
        <f t="shared" si="8"/>
        <v>0</v>
      </c>
      <c r="AU68" s="77">
        <f t="shared" si="8"/>
        <v>0</v>
      </c>
      <c r="AV68" s="79">
        <f t="shared" si="8"/>
        <v>0</v>
      </c>
    </row>
    <row r="69" spans="1:48" ht="14.5" x14ac:dyDescent="0.3">
      <c r="A69" s="9" t="s">
        <v>275</v>
      </c>
      <c r="B69" s="10" t="s">
        <v>276</v>
      </c>
      <c r="C69" s="10" t="s">
        <v>277</v>
      </c>
      <c r="D69" s="10"/>
      <c r="E69" s="10"/>
      <c r="F69" s="10"/>
      <c r="G69" s="10"/>
      <c r="H69" s="10">
        <v>1557</v>
      </c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F69" s="102"/>
      <c r="AG69" s="9" t="s">
        <v>275</v>
      </c>
      <c r="AH69" s="10" t="s">
        <v>276</v>
      </c>
      <c r="AI69" s="10" t="s">
        <v>277</v>
      </c>
      <c r="AJ69" s="10">
        <v>2357</v>
      </c>
      <c r="AK69" s="10">
        <v>1557</v>
      </c>
      <c r="AL69" s="10"/>
      <c r="AM69" s="10"/>
      <c r="AN69" s="46">
        <v>4669</v>
      </c>
      <c r="AO69" s="108"/>
      <c r="AP69" s="77">
        <f t="shared" si="9"/>
        <v>1</v>
      </c>
      <c r="AQ69" s="77">
        <f t="shared" si="9"/>
        <v>0</v>
      </c>
      <c r="AR69" s="77">
        <f t="shared" si="9"/>
        <v>0</v>
      </c>
      <c r="AS69" s="77">
        <f t="shared" si="8"/>
        <v>1</v>
      </c>
      <c r="AT69" s="77">
        <f t="shared" si="8"/>
        <v>0</v>
      </c>
      <c r="AU69" s="77">
        <f t="shared" si="8"/>
        <v>0</v>
      </c>
      <c r="AV69" s="79">
        <f t="shared" si="8"/>
        <v>0</v>
      </c>
    </row>
    <row r="70" spans="1:48" ht="14.5" x14ac:dyDescent="0.3">
      <c r="A70" s="9" t="s">
        <v>278</v>
      </c>
      <c r="B70" s="10" t="s">
        <v>279</v>
      </c>
      <c r="C70" s="10" t="s">
        <v>280</v>
      </c>
      <c r="D70" s="10"/>
      <c r="E70" s="10"/>
      <c r="F70" s="10"/>
      <c r="G70" s="10"/>
      <c r="H70" s="10">
        <v>1558</v>
      </c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F70" s="102"/>
      <c r="AG70" s="9" t="s">
        <v>278</v>
      </c>
      <c r="AH70" s="10" t="s">
        <v>279</v>
      </c>
      <c r="AI70" s="10" t="s">
        <v>280</v>
      </c>
      <c r="AJ70" s="10">
        <v>2358</v>
      </c>
      <c r="AK70" s="10">
        <v>1558</v>
      </c>
      <c r="AL70" s="10"/>
      <c r="AM70" s="10"/>
      <c r="AN70" s="46">
        <v>4677</v>
      </c>
      <c r="AO70" s="108"/>
      <c r="AP70" s="77">
        <f t="shared" si="9"/>
        <v>1</v>
      </c>
      <c r="AQ70" s="77">
        <f t="shared" si="9"/>
        <v>0</v>
      </c>
      <c r="AR70" s="77">
        <f t="shared" si="9"/>
        <v>0</v>
      </c>
      <c r="AS70" s="77">
        <f t="shared" si="8"/>
        <v>0</v>
      </c>
      <c r="AT70" s="77">
        <f t="shared" si="8"/>
        <v>0</v>
      </c>
      <c r="AU70" s="77">
        <f t="shared" si="8"/>
        <v>0</v>
      </c>
      <c r="AV70" s="79">
        <f t="shared" si="8"/>
        <v>0</v>
      </c>
    </row>
    <row r="71" spans="1:48" ht="14.5" x14ac:dyDescent="0.3">
      <c r="A71" s="9" t="s">
        <v>281</v>
      </c>
      <c r="B71" s="10" t="s">
        <v>282</v>
      </c>
      <c r="C71" s="10" t="s">
        <v>283</v>
      </c>
      <c r="D71" s="10"/>
      <c r="E71" s="10"/>
      <c r="F71" s="10"/>
      <c r="G71" s="10"/>
      <c r="H71" s="10">
        <v>1559</v>
      </c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F71" s="102"/>
      <c r="AG71" s="9" t="s">
        <v>281</v>
      </c>
      <c r="AH71" s="10" t="s">
        <v>282</v>
      </c>
      <c r="AI71" s="10" t="s">
        <v>283</v>
      </c>
      <c r="AJ71" s="10">
        <v>2359</v>
      </c>
      <c r="AK71" s="10">
        <v>1559</v>
      </c>
      <c r="AL71" s="10"/>
      <c r="AM71" s="10"/>
      <c r="AN71" s="46">
        <v>4688</v>
      </c>
      <c r="AO71" s="108"/>
      <c r="AP71" s="77">
        <f t="shared" si="9"/>
        <v>1</v>
      </c>
      <c r="AQ71" s="77">
        <f t="shared" si="9"/>
        <v>0</v>
      </c>
      <c r="AR71" s="77">
        <f t="shared" si="9"/>
        <v>0</v>
      </c>
      <c r="AS71" s="77">
        <f t="shared" si="8"/>
        <v>0</v>
      </c>
      <c r="AT71" s="77">
        <f t="shared" si="8"/>
        <v>0</v>
      </c>
      <c r="AU71" s="77">
        <f t="shared" si="8"/>
        <v>0</v>
      </c>
      <c r="AV71" s="79">
        <f t="shared" si="8"/>
        <v>0</v>
      </c>
    </row>
    <row r="72" spans="1:48" ht="14.5" x14ac:dyDescent="0.3">
      <c r="A72" s="9" t="s">
        <v>284</v>
      </c>
      <c r="B72" s="10" t="s">
        <v>71</v>
      </c>
      <c r="C72" s="10" t="s">
        <v>149</v>
      </c>
      <c r="D72" s="10"/>
      <c r="E72" s="10"/>
      <c r="F72" s="10"/>
      <c r="G72" s="10"/>
      <c r="H72" s="10">
        <v>1566</v>
      </c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F72" s="102"/>
      <c r="AG72" s="9" t="s">
        <v>284</v>
      </c>
      <c r="AH72" s="10" t="s">
        <v>71</v>
      </c>
      <c r="AI72" s="10" t="s">
        <v>149</v>
      </c>
      <c r="AJ72" s="10">
        <v>2367</v>
      </c>
      <c r="AK72" s="10">
        <v>1566</v>
      </c>
      <c r="AL72" s="10"/>
      <c r="AM72" s="10"/>
      <c r="AN72" s="46">
        <v>4699</v>
      </c>
      <c r="AO72" s="108"/>
      <c r="AP72" s="77">
        <f t="shared" si="9"/>
        <v>5</v>
      </c>
      <c r="AQ72" s="77">
        <f t="shared" si="9"/>
        <v>0</v>
      </c>
      <c r="AR72" s="77">
        <f t="shared" si="9"/>
        <v>1</v>
      </c>
      <c r="AS72" s="77">
        <f t="shared" si="8"/>
        <v>0</v>
      </c>
      <c r="AT72" s="77">
        <f t="shared" si="8"/>
        <v>0</v>
      </c>
      <c r="AU72" s="77">
        <f t="shared" si="8"/>
        <v>0</v>
      </c>
      <c r="AV72" s="79">
        <f t="shared" si="8"/>
        <v>0</v>
      </c>
    </row>
    <row r="73" spans="1:48" ht="14.5" x14ac:dyDescent="0.3">
      <c r="A73" s="9" t="s">
        <v>285</v>
      </c>
      <c r="B73" s="10" t="s">
        <v>286</v>
      </c>
      <c r="C73" s="10" t="s">
        <v>287</v>
      </c>
      <c r="D73" s="10"/>
      <c r="E73" s="10"/>
      <c r="F73" s="10"/>
      <c r="G73" s="10"/>
      <c r="H73" s="10">
        <v>1588</v>
      </c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F73" s="102"/>
      <c r="AG73" s="9" t="s">
        <v>285</v>
      </c>
      <c r="AH73" s="10" t="s">
        <v>286</v>
      </c>
      <c r="AI73" s="10" t="s">
        <v>287</v>
      </c>
      <c r="AJ73" s="10">
        <v>2368</v>
      </c>
      <c r="AK73" s="10">
        <v>1588</v>
      </c>
      <c r="AL73" s="10"/>
      <c r="AM73" s="10"/>
      <c r="AN73" s="46">
        <v>4778</v>
      </c>
      <c r="AO73" s="108"/>
      <c r="AP73" s="77">
        <f t="shared" si="9"/>
        <v>0</v>
      </c>
      <c r="AQ73" s="77">
        <f t="shared" si="9"/>
        <v>0</v>
      </c>
      <c r="AR73" s="77">
        <f t="shared" si="9"/>
        <v>1</v>
      </c>
      <c r="AS73" s="77">
        <f t="shared" si="8"/>
        <v>0</v>
      </c>
      <c r="AT73" s="77">
        <f t="shared" si="8"/>
        <v>0</v>
      </c>
      <c r="AU73" s="77">
        <f t="shared" si="8"/>
        <v>0</v>
      </c>
      <c r="AV73" s="79">
        <f t="shared" si="8"/>
        <v>0</v>
      </c>
    </row>
    <row r="74" spans="1:48" ht="14.5" x14ac:dyDescent="0.3">
      <c r="A74" s="9" t="s">
        <v>288</v>
      </c>
      <c r="B74" s="10" t="s">
        <v>289</v>
      </c>
      <c r="C74" s="10" t="s">
        <v>290</v>
      </c>
      <c r="D74" s="10"/>
      <c r="E74" s="10"/>
      <c r="F74" s="10"/>
      <c r="G74" s="10"/>
      <c r="H74" s="10">
        <v>1599</v>
      </c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F74" s="102"/>
      <c r="AG74" s="9" t="s">
        <v>288</v>
      </c>
      <c r="AH74" s="10" t="s">
        <v>289</v>
      </c>
      <c r="AI74" s="10" t="s">
        <v>290</v>
      </c>
      <c r="AJ74" s="10">
        <v>2369</v>
      </c>
      <c r="AK74" s="10">
        <v>1599</v>
      </c>
      <c r="AL74" s="10"/>
      <c r="AM74" s="10"/>
      <c r="AN74" s="46">
        <v>4779</v>
      </c>
      <c r="AO74" s="108"/>
      <c r="AP74" s="77">
        <f t="shared" si="9"/>
        <v>1</v>
      </c>
      <c r="AQ74" s="77">
        <f t="shared" si="9"/>
        <v>0</v>
      </c>
      <c r="AR74" s="77">
        <f t="shared" si="9"/>
        <v>0</v>
      </c>
      <c r="AS74" s="77">
        <f t="shared" si="8"/>
        <v>0</v>
      </c>
      <c r="AT74" s="77">
        <f t="shared" si="8"/>
        <v>0</v>
      </c>
      <c r="AU74" s="77">
        <f t="shared" si="8"/>
        <v>0</v>
      </c>
      <c r="AV74" s="79">
        <f t="shared" si="8"/>
        <v>0</v>
      </c>
    </row>
    <row r="75" spans="1:48" ht="14.5" x14ac:dyDescent="0.3">
      <c r="A75" s="9" t="s">
        <v>291</v>
      </c>
      <c r="B75" s="10" t="s">
        <v>292</v>
      </c>
      <c r="C75" s="10" t="s">
        <v>293</v>
      </c>
      <c r="D75" s="10"/>
      <c r="E75" s="10"/>
      <c r="F75" s="10"/>
      <c r="G75" s="10"/>
      <c r="H75" s="10">
        <v>1667</v>
      </c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F75" s="102"/>
      <c r="AG75" s="9" t="s">
        <v>291</v>
      </c>
      <c r="AH75" s="10" t="s">
        <v>292</v>
      </c>
      <c r="AI75" s="10" t="s">
        <v>293</v>
      </c>
      <c r="AJ75" s="10">
        <v>2378</v>
      </c>
      <c r="AK75" s="10">
        <v>1667</v>
      </c>
      <c r="AL75" s="10"/>
      <c r="AM75" s="10"/>
      <c r="AN75" s="46">
        <v>4788</v>
      </c>
      <c r="AO75" s="108"/>
      <c r="AP75" s="77">
        <f t="shared" si="9"/>
        <v>0</v>
      </c>
      <c r="AQ75" s="77">
        <f t="shared" si="9"/>
        <v>0</v>
      </c>
      <c r="AR75" s="77">
        <f t="shared" si="9"/>
        <v>1</v>
      </c>
      <c r="AS75" s="77">
        <f t="shared" si="8"/>
        <v>0</v>
      </c>
      <c r="AT75" s="77">
        <f t="shared" si="8"/>
        <v>0</v>
      </c>
      <c r="AU75" s="77">
        <f t="shared" si="8"/>
        <v>0</v>
      </c>
      <c r="AV75" s="79">
        <f t="shared" si="8"/>
        <v>0</v>
      </c>
    </row>
    <row r="76" spans="1:48" ht="15" thickBot="1" x14ac:dyDescent="0.35">
      <c r="A76" s="9" t="s">
        <v>294</v>
      </c>
      <c r="B76" s="10" t="s">
        <v>295</v>
      </c>
      <c r="C76" s="10" t="s">
        <v>296</v>
      </c>
      <c r="D76" s="10"/>
      <c r="E76" s="10"/>
      <c r="F76" s="10"/>
      <c r="G76" s="10"/>
      <c r="H76" s="10">
        <v>1668</v>
      </c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F76" s="103"/>
      <c r="AG76" s="41" t="s">
        <v>294</v>
      </c>
      <c r="AH76" s="42" t="s">
        <v>295</v>
      </c>
      <c r="AI76" s="42" t="s">
        <v>296</v>
      </c>
      <c r="AJ76" s="42">
        <v>2379</v>
      </c>
      <c r="AK76" s="42">
        <v>1668</v>
      </c>
      <c r="AL76" s="42"/>
      <c r="AM76" s="42"/>
      <c r="AN76" s="47">
        <v>4799</v>
      </c>
      <c r="AO76" s="109"/>
      <c r="AP76" s="80">
        <f t="shared" si="9"/>
        <v>0</v>
      </c>
      <c r="AQ76" s="80">
        <f t="shared" si="9"/>
        <v>0</v>
      </c>
      <c r="AR76" s="80">
        <f t="shared" si="9"/>
        <v>0</v>
      </c>
      <c r="AS76" s="80">
        <f t="shared" si="8"/>
        <v>1</v>
      </c>
      <c r="AT76" s="80">
        <f t="shared" si="8"/>
        <v>0</v>
      </c>
      <c r="AU76" s="80">
        <f t="shared" si="8"/>
        <v>0</v>
      </c>
      <c r="AV76" s="81">
        <f t="shared" si="8"/>
        <v>0</v>
      </c>
    </row>
    <row r="77" spans="1:48" ht="14.5" x14ac:dyDescent="0.3">
      <c r="A77" s="9" t="s">
        <v>297</v>
      </c>
      <c r="B77" s="10" t="s">
        <v>298</v>
      </c>
      <c r="C77" s="10" t="s">
        <v>299</v>
      </c>
      <c r="D77" s="10"/>
      <c r="E77" s="10"/>
      <c r="F77" s="10"/>
      <c r="G77" s="10"/>
      <c r="H77" s="10">
        <v>1669</v>
      </c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F77" s="101" t="s">
        <v>440</v>
      </c>
      <c r="AG77" s="39" t="s">
        <v>297</v>
      </c>
      <c r="AH77" s="40" t="s">
        <v>298</v>
      </c>
      <c r="AI77" s="40" t="s">
        <v>299</v>
      </c>
      <c r="AJ77" s="40">
        <v>2389</v>
      </c>
      <c r="AK77" s="40">
        <v>1669</v>
      </c>
      <c r="AL77" s="40"/>
      <c r="AM77" s="40"/>
      <c r="AN77" s="48">
        <v>4889</v>
      </c>
      <c r="AO77" s="107">
        <f t="shared" ref="AO77" si="11">SUM(AP77:AV88)</f>
        <v>16</v>
      </c>
      <c r="AP77" s="75">
        <f t="shared" si="9"/>
        <v>1</v>
      </c>
      <c r="AQ77" s="75">
        <f t="shared" si="9"/>
        <v>0</v>
      </c>
      <c r="AR77" s="75">
        <f t="shared" si="9"/>
        <v>0</v>
      </c>
      <c r="AS77" s="75">
        <f t="shared" si="8"/>
        <v>0</v>
      </c>
      <c r="AT77" s="75">
        <f t="shared" si="8"/>
        <v>0</v>
      </c>
      <c r="AU77" s="75">
        <f t="shared" si="8"/>
        <v>0</v>
      </c>
      <c r="AV77" s="76">
        <f t="shared" si="8"/>
        <v>0</v>
      </c>
    </row>
    <row r="78" spans="1:48" ht="14.5" x14ac:dyDescent="0.3">
      <c r="A78" s="9" t="s">
        <v>300</v>
      </c>
      <c r="B78" s="10" t="s">
        <v>301</v>
      </c>
      <c r="C78" s="10" t="s">
        <v>302</v>
      </c>
      <c r="D78" s="10"/>
      <c r="E78" s="10"/>
      <c r="F78" s="10"/>
      <c r="G78" s="10"/>
      <c r="H78" s="10">
        <v>1677</v>
      </c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F78" s="102"/>
      <c r="AG78" s="9" t="s">
        <v>300</v>
      </c>
      <c r="AH78" s="10" t="s">
        <v>301</v>
      </c>
      <c r="AI78" s="10" t="s">
        <v>302</v>
      </c>
      <c r="AJ78" s="10">
        <v>2456</v>
      </c>
      <c r="AK78" s="10">
        <v>1677</v>
      </c>
      <c r="AL78" s="10"/>
      <c r="AM78" s="10"/>
      <c r="AN78" s="46">
        <v>4899</v>
      </c>
      <c r="AO78" s="108"/>
      <c r="AP78" s="77">
        <f t="shared" si="9"/>
        <v>0</v>
      </c>
      <c r="AQ78" s="77">
        <f t="shared" si="9"/>
        <v>0</v>
      </c>
      <c r="AR78" s="77">
        <f t="shared" si="9"/>
        <v>1</v>
      </c>
      <c r="AS78" s="77">
        <f t="shared" si="8"/>
        <v>0</v>
      </c>
      <c r="AT78" s="77">
        <f t="shared" si="8"/>
        <v>0</v>
      </c>
      <c r="AU78" s="77">
        <f t="shared" si="8"/>
        <v>0</v>
      </c>
      <c r="AV78" s="79">
        <f t="shared" si="8"/>
        <v>0</v>
      </c>
    </row>
    <row r="79" spans="1:48" ht="14.5" x14ac:dyDescent="0.3">
      <c r="A79" s="9" t="s">
        <v>303</v>
      </c>
      <c r="B79" s="10" t="s">
        <v>304</v>
      </c>
      <c r="C79" s="10" t="s">
        <v>305</v>
      </c>
      <c r="D79" s="10"/>
      <c r="E79" s="10"/>
      <c r="F79" s="10"/>
      <c r="G79" s="10"/>
      <c r="H79" s="10">
        <v>1688</v>
      </c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F79" s="102"/>
      <c r="AG79" s="9" t="s">
        <v>303</v>
      </c>
      <c r="AH79" s="10" t="s">
        <v>304</v>
      </c>
      <c r="AI79" s="10" t="s">
        <v>305</v>
      </c>
      <c r="AJ79" s="10">
        <v>2457</v>
      </c>
      <c r="AK79" s="10">
        <v>1688</v>
      </c>
      <c r="AL79" s="10"/>
      <c r="AM79" s="10"/>
      <c r="AN79" s="46">
        <v>5567</v>
      </c>
      <c r="AO79" s="108"/>
      <c r="AP79" s="77">
        <f t="shared" si="9"/>
        <v>0</v>
      </c>
      <c r="AQ79" s="77">
        <f t="shared" si="9"/>
        <v>0</v>
      </c>
      <c r="AR79" s="77">
        <f t="shared" si="9"/>
        <v>0</v>
      </c>
      <c r="AS79" s="77">
        <f t="shared" si="8"/>
        <v>0</v>
      </c>
      <c r="AT79" s="77">
        <f t="shared" si="8"/>
        <v>0</v>
      </c>
      <c r="AU79" s="77">
        <f t="shared" si="8"/>
        <v>0</v>
      </c>
      <c r="AV79" s="79">
        <f t="shared" si="8"/>
        <v>0</v>
      </c>
    </row>
    <row r="80" spans="1:48" ht="14.5" x14ac:dyDescent="0.3">
      <c r="A80" s="9" t="s">
        <v>306</v>
      </c>
      <c r="B80" s="10" t="s">
        <v>307</v>
      </c>
      <c r="C80" s="10" t="s">
        <v>308</v>
      </c>
      <c r="D80" s="10"/>
      <c r="E80" s="10"/>
      <c r="F80" s="10"/>
      <c r="G80" s="10"/>
      <c r="H80" s="10">
        <v>1699</v>
      </c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F80" s="102"/>
      <c r="AG80" s="9" t="s">
        <v>306</v>
      </c>
      <c r="AH80" s="10" t="s">
        <v>307</v>
      </c>
      <c r="AI80" s="10" t="s">
        <v>308</v>
      </c>
      <c r="AJ80" s="10">
        <v>2458</v>
      </c>
      <c r="AK80" s="10">
        <v>1699</v>
      </c>
      <c r="AL80" s="10"/>
      <c r="AM80" s="10"/>
      <c r="AN80" s="46">
        <v>5568</v>
      </c>
      <c r="AO80" s="108"/>
      <c r="AP80" s="77">
        <f t="shared" si="9"/>
        <v>1</v>
      </c>
      <c r="AQ80" s="77">
        <f t="shared" si="9"/>
        <v>0</v>
      </c>
      <c r="AR80" s="77">
        <f t="shared" si="9"/>
        <v>1</v>
      </c>
      <c r="AS80" s="77">
        <f t="shared" si="8"/>
        <v>0</v>
      </c>
      <c r="AT80" s="77">
        <f t="shared" si="8"/>
        <v>0</v>
      </c>
      <c r="AU80" s="77">
        <f t="shared" si="8"/>
        <v>0</v>
      </c>
      <c r="AV80" s="79">
        <f t="shared" si="8"/>
        <v>0</v>
      </c>
    </row>
    <row r="81" spans="1:48" ht="14.5" x14ac:dyDescent="0.3">
      <c r="A81" s="9" t="s">
        <v>309</v>
      </c>
      <c r="B81" s="10" t="s">
        <v>310</v>
      </c>
      <c r="C81" s="10" t="s">
        <v>311</v>
      </c>
      <c r="D81" s="10"/>
      <c r="E81" s="10"/>
      <c r="F81" s="10"/>
      <c r="G81" s="10"/>
      <c r="H81" s="10">
        <v>1778</v>
      </c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F81" s="102"/>
      <c r="AG81" s="9" t="s">
        <v>309</v>
      </c>
      <c r="AH81" s="10" t="s">
        <v>310</v>
      </c>
      <c r="AI81" s="10" t="s">
        <v>311</v>
      </c>
      <c r="AJ81" s="10">
        <v>2459</v>
      </c>
      <c r="AK81" s="10">
        <v>1778</v>
      </c>
      <c r="AL81" s="10"/>
      <c r="AM81" s="10"/>
      <c r="AN81" s="46">
        <v>5569</v>
      </c>
      <c r="AO81" s="108"/>
      <c r="AP81" s="77">
        <f t="shared" si="9"/>
        <v>0</v>
      </c>
      <c r="AQ81" s="77">
        <f t="shared" si="9"/>
        <v>0</v>
      </c>
      <c r="AR81" s="77">
        <f t="shared" si="9"/>
        <v>0</v>
      </c>
      <c r="AS81" s="77">
        <f t="shared" si="8"/>
        <v>0</v>
      </c>
      <c r="AT81" s="77">
        <f t="shared" si="8"/>
        <v>0</v>
      </c>
      <c r="AU81" s="77">
        <f t="shared" si="8"/>
        <v>0</v>
      </c>
      <c r="AV81" s="79">
        <f t="shared" si="8"/>
        <v>0</v>
      </c>
    </row>
    <row r="82" spans="1:48" ht="14.5" x14ac:dyDescent="0.3">
      <c r="A82" s="9" t="s">
        <v>312</v>
      </c>
      <c r="B82" s="10" t="s">
        <v>313</v>
      </c>
      <c r="C82" s="10" t="s">
        <v>314</v>
      </c>
      <c r="D82" s="10"/>
      <c r="E82" s="10"/>
      <c r="F82" s="10"/>
      <c r="G82" s="10"/>
      <c r="H82" s="10">
        <v>1779</v>
      </c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F82" s="102"/>
      <c r="AG82" s="9" t="s">
        <v>312</v>
      </c>
      <c r="AH82" s="10" t="s">
        <v>313</v>
      </c>
      <c r="AI82" s="10" t="s">
        <v>314</v>
      </c>
      <c r="AJ82" s="10">
        <v>2467</v>
      </c>
      <c r="AK82" s="10">
        <v>1779</v>
      </c>
      <c r="AL82" s="10"/>
      <c r="AM82" s="10"/>
      <c r="AN82" s="46">
        <v>5578</v>
      </c>
      <c r="AO82" s="108"/>
      <c r="AP82" s="77">
        <f t="shared" si="9"/>
        <v>1</v>
      </c>
      <c r="AQ82" s="77">
        <f t="shared" si="9"/>
        <v>1</v>
      </c>
      <c r="AR82" s="77">
        <f t="shared" si="9"/>
        <v>0</v>
      </c>
      <c r="AS82" s="77">
        <f t="shared" si="8"/>
        <v>0</v>
      </c>
      <c r="AT82" s="77">
        <f t="shared" si="8"/>
        <v>0</v>
      </c>
      <c r="AU82" s="77">
        <f t="shared" si="8"/>
        <v>0</v>
      </c>
      <c r="AV82" s="79">
        <f t="shared" si="8"/>
        <v>0</v>
      </c>
    </row>
    <row r="83" spans="1:48" ht="14.5" x14ac:dyDescent="0.3">
      <c r="A83" s="9" t="s">
        <v>315</v>
      </c>
      <c r="B83" s="10" t="s">
        <v>135</v>
      </c>
      <c r="C83" s="10" t="s">
        <v>316</v>
      </c>
      <c r="D83" s="10"/>
      <c r="E83" s="10"/>
      <c r="F83" s="10"/>
      <c r="G83" s="10"/>
      <c r="H83" s="10">
        <v>1788</v>
      </c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F83" s="102"/>
      <c r="AG83" s="9" t="s">
        <v>315</v>
      </c>
      <c r="AH83" s="10" t="s">
        <v>135</v>
      </c>
      <c r="AI83" s="10" t="s">
        <v>316</v>
      </c>
      <c r="AJ83" s="10">
        <v>2468</v>
      </c>
      <c r="AK83" s="10">
        <v>1788</v>
      </c>
      <c r="AL83" s="10"/>
      <c r="AM83" s="10"/>
      <c r="AN83" s="46">
        <v>5579</v>
      </c>
      <c r="AO83" s="108"/>
      <c r="AP83" s="77">
        <f t="shared" si="9"/>
        <v>2</v>
      </c>
      <c r="AQ83" s="77">
        <f t="shared" si="9"/>
        <v>0</v>
      </c>
      <c r="AR83" s="77">
        <f t="shared" si="9"/>
        <v>0</v>
      </c>
      <c r="AS83" s="77">
        <f t="shared" si="8"/>
        <v>0</v>
      </c>
      <c r="AT83" s="77">
        <f t="shared" si="8"/>
        <v>0</v>
      </c>
      <c r="AU83" s="77">
        <f t="shared" si="8"/>
        <v>0</v>
      </c>
      <c r="AV83" s="79">
        <f t="shared" si="8"/>
        <v>1</v>
      </c>
    </row>
    <row r="84" spans="1:48" ht="14.5" x14ac:dyDescent="0.3">
      <c r="A84" s="9" t="s">
        <v>317</v>
      </c>
      <c r="B84" s="10" t="s">
        <v>318</v>
      </c>
      <c r="C84" s="10" t="s">
        <v>319</v>
      </c>
      <c r="D84" s="10"/>
      <c r="E84" s="10"/>
      <c r="F84" s="10"/>
      <c r="G84" s="10"/>
      <c r="H84" s="10">
        <v>1799</v>
      </c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F84" s="102"/>
      <c r="AG84" s="9" t="s">
        <v>317</v>
      </c>
      <c r="AH84" s="10" t="s">
        <v>318</v>
      </c>
      <c r="AI84" s="10" t="s">
        <v>319</v>
      </c>
      <c r="AJ84" s="10">
        <v>2469</v>
      </c>
      <c r="AK84" s="10">
        <v>1799</v>
      </c>
      <c r="AL84" s="10"/>
      <c r="AM84" s="10"/>
      <c r="AN84" s="46">
        <v>5589</v>
      </c>
      <c r="AO84" s="108"/>
      <c r="AP84" s="77">
        <f t="shared" si="9"/>
        <v>0</v>
      </c>
      <c r="AQ84" s="77">
        <f t="shared" si="9"/>
        <v>0</v>
      </c>
      <c r="AR84" s="77">
        <f t="shared" si="9"/>
        <v>0</v>
      </c>
      <c r="AS84" s="77">
        <f t="shared" si="8"/>
        <v>0</v>
      </c>
      <c r="AT84" s="77">
        <f t="shared" si="8"/>
        <v>0</v>
      </c>
      <c r="AU84" s="77">
        <f t="shared" si="8"/>
        <v>0</v>
      </c>
      <c r="AV84" s="79">
        <f t="shared" si="8"/>
        <v>0</v>
      </c>
    </row>
    <row r="85" spans="1:48" ht="14.5" x14ac:dyDescent="0.3">
      <c r="A85" s="9" t="s">
        <v>320</v>
      </c>
      <c r="B85" s="10" t="s">
        <v>321</v>
      </c>
      <c r="C85" s="10" t="s">
        <v>322</v>
      </c>
      <c r="D85" s="10"/>
      <c r="E85" s="10"/>
      <c r="F85" s="10"/>
      <c r="G85" s="10"/>
      <c r="H85" s="10">
        <v>1889</v>
      </c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F85" s="102"/>
      <c r="AG85" s="9" t="s">
        <v>320</v>
      </c>
      <c r="AH85" s="10" t="s">
        <v>321</v>
      </c>
      <c r="AI85" s="10" t="s">
        <v>322</v>
      </c>
      <c r="AJ85" s="10">
        <v>2478</v>
      </c>
      <c r="AK85" s="10">
        <v>1889</v>
      </c>
      <c r="AL85" s="10"/>
      <c r="AM85" s="10"/>
      <c r="AN85" s="46">
        <v>5667</v>
      </c>
      <c r="AO85" s="108"/>
      <c r="AP85" s="77">
        <f t="shared" si="9"/>
        <v>0</v>
      </c>
      <c r="AQ85" s="77">
        <f t="shared" si="9"/>
        <v>0</v>
      </c>
      <c r="AR85" s="77">
        <f t="shared" si="9"/>
        <v>0</v>
      </c>
      <c r="AS85" s="77">
        <f t="shared" si="8"/>
        <v>0</v>
      </c>
      <c r="AT85" s="77">
        <f t="shared" si="8"/>
        <v>0</v>
      </c>
      <c r="AU85" s="77">
        <f t="shared" si="8"/>
        <v>0</v>
      </c>
      <c r="AV85" s="79">
        <f t="shared" si="8"/>
        <v>1</v>
      </c>
    </row>
    <row r="86" spans="1:48" ht="14.5" x14ac:dyDescent="0.3">
      <c r="A86" s="9" t="s">
        <v>323</v>
      </c>
      <c r="B86" s="10" t="s">
        <v>324</v>
      </c>
      <c r="C86" s="10" t="s">
        <v>325</v>
      </c>
      <c r="D86" s="10"/>
      <c r="E86" s="10"/>
      <c r="F86" s="10"/>
      <c r="G86" s="10"/>
      <c r="H86" s="10">
        <v>1899</v>
      </c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F86" s="102"/>
      <c r="AG86" s="9" t="s">
        <v>323</v>
      </c>
      <c r="AH86" s="10" t="s">
        <v>324</v>
      </c>
      <c r="AI86" s="10" t="s">
        <v>325</v>
      </c>
      <c r="AJ86" s="10">
        <v>2479</v>
      </c>
      <c r="AK86" s="10">
        <v>1899</v>
      </c>
      <c r="AL86" s="10"/>
      <c r="AM86" s="10"/>
      <c r="AN86" s="46">
        <v>5668</v>
      </c>
      <c r="AO86" s="108"/>
      <c r="AP86" s="77">
        <f t="shared" si="9"/>
        <v>0</v>
      </c>
      <c r="AQ86" s="77">
        <f t="shared" si="9"/>
        <v>0</v>
      </c>
      <c r="AR86" s="77">
        <f t="shared" si="9"/>
        <v>0</v>
      </c>
      <c r="AS86" s="77">
        <f t="shared" si="8"/>
        <v>0</v>
      </c>
      <c r="AT86" s="77">
        <f t="shared" si="8"/>
        <v>0</v>
      </c>
      <c r="AU86" s="77">
        <f t="shared" si="8"/>
        <v>0</v>
      </c>
      <c r="AV86" s="79">
        <f t="shared" si="8"/>
        <v>1</v>
      </c>
    </row>
    <row r="87" spans="1:48" ht="14.5" x14ac:dyDescent="0.3">
      <c r="A87" s="9" t="s">
        <v>326</v>
      </c>
      <c r="B87" s="10" t="s">
        <v>327</v>
      </c>
      <c r="C87" s="10" t="s">
        <v>97</v>
      </c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F87" s="102"/>
      <c r="AG87" s="9" t="s">
        <v>326</v>
      </c>
      <c r="AH87" s="10" t="s">
        <v>327</v>
      </c>
      <c r="AI87" s="10" t="s">
        <v>97</v>
      </c>
      <c r="AJ87" s="10">
        <v>2489</v>
      </c>
      <c r="AK87" s="10"/>
      <c r="AL87" s="10"/>
      <c r="AM87" s="10"/>
      <c r="AN87" s="46">
        <v>5669</v>
      </c>
      <c r="AO87" s="108"/>
      <c r="AP87" s="77">
        <f t="shared" si="9"/>
        <v>0</v>
      </c>
      <c r="AQ87" s="77">
        <f t="shared" si="9"/>
        <v>1</v>
      </c>
      <c r="AR87" s="77">
        <f t="shared" si="9"/>
        <v>4</v>
      </c>
      <c r="AS87" s="77">
        <f t="shared" si="8"/>
        <v>0</v>
      </c>
      <c r="AT87" s="77">
        <f t="shared" si="8"/>
        <v>0</v>
      </c>
      <c r="AU87" s="77">
        <f t="shared" si="8"/>
        <v>0</v>
      </c>
      <c r="AV87" s="79">
        <f t="shared" si="8"/>
        <v>0</v>
      </c>
    </row>
    <row r="88" spans="1:48" ht="15" thickBot="1" x14ac:dyDescent="0.35">
      <c r="A88" s="9" t="s">
        <v>328</v>
      </c>
      <c r="B88" s="10" t="s">
        <v>329</v>
      </c>
      <c r="C88" s="10" t="s">
        <v>330</v>
      </c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F88" s="103"/>
      <c r="AG88" s="41" t="s">
        <v>328</v>
      </c>
      <c r="AH88" s="42" t="s">
        <v>329</v>
      </c>
      <c r="AI88" s="42" t="s">
        <v>330</v>
      </c>
      <c r="AJ88" s="42">
        <v>2567</v>
      </c>
      <c r="AK88" s="42"/>
      <c r="AL88" s="42"/>
      <c r="AM88" s="42"/>
      <c r="AN88" s="47">
        <v>5677</v>
      </c>
      <c r="AO88" s="109"/>
      <c r="AP88" s="80">
        <f t="shared" si="9"/>
        <v>0</v>
      </c>
      <c r="AQ88" s="80">
        <f t="shared" si="9"/>
        <v>0</v>
      </c>
      <c r="AR88" s="80">
        <f t="shared" si="9"/>
        <v>0</v>
      </c>
      <c r="AS88" s="80">
        <f t="shared" si="8"/>
        <v>0</v>
      </c>
      <c r="AT88" s="80">
        <f t="shared" si="8"/>
        <v>0</v>
      </c>
      <c r="AU88" s="80">
        <f t="shared" si="8"/>
        <v>0</v>
      </c>
      <c r="AV88" s="81">
        <f t="shared" si="8"/>
        <v>0</v>
      </c>
    </row>
    <row r="89" spans="1:48" ht="14.5" x14ac:dyDescent="0.3">
      <c r="A89" s="9" t="s">
        <v>331</v>
      </c>
      <c r="B89" s="10"/>
      <c r="C89" s="10" t="s">
        <v>332</v>
      </c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F89" s="101" t="s">
        <v>441</v>
      </c>
      <c r="AG89" s="39" t="s">
        <v>331</v>
      </c>
      <c r="AH89" s="40"/>
      <c r="AI89" s="40" t="s">
        <v>332</v>
      </c>
      <c r="AJ89" s="40">
        <v>2568</v>
      </c>
      <c r="AK89" s="40"/>
      <c r="AL89" s="40"/>
      <c r="AM89" s="40"/>
      <c r="AN89" s="48">
        <v>5688</v>
      </c>
      <c r="AO89" s="107">
        <f t="shared" ref="AO89" si="12">SUM(AP89:AV100)</f>
        <v>11</v>
      </c>
      <c r="AP89" s="75">
        <f t="shared" si="9"/>
        <v>0</v>
      </c>
      <c r="AQ89" s="75">
        <f t="shared" si="9"/>
        <v>0</v>
      </c>
      <c r="AR89" s="75">
        <f t="shared" si="9"/>
        <v>1</v>
      </c>
      <c r="AS89" s="75">
        <f t="shared" si="8"/>
        <v>0</v>
      </c>
      <c r="AT89" s="75">
        <f t="shared" si="8"/>
        <v>0</v>
      </c>
      <c r="AU89" s="75">
        <f t="shared" si="8"/>
        <v>0</v>
      </c>
      <c r="AV89" s="76">
        <f t="shared" si="8"/>
        <v>0</v>
      </c>
    </row>
    <row r="90" spans="1:48" ht="14.5" x14ac:dyDescent="0.3">
      <c r="A90" s="9" t="s">
        <v>333</v>
      </c>
      <c r="B90" s="10"/>
      <c r="C90" s="10" t="s">
        <v>334</v>
      </c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F90" s="102"/>
      <c r="AG90" s="9" t="s">
        <v>333</v>
      </c>
      <c r="AH90" s="10"/>
      <c r="AI90" s="10" t="s">
        <v>334</v>
      </c>
      <c r="AJ90" s="10">
        <v>2569</v>
      </c>
      <c r="AK90" s="10"/>
      <c r="AL90" s="10"/>
      <c r="AM90" s="10"/>
      <c r="AN90" s="46">
        <v>5699</v>
      </c>
      <c r="AO90" s="108"/>
      <c r="AP90" s="77">
        <f t="shared" si="9"/>
        <v>0</v>
      </c>
      <c r="AQ90" s="77">
        <f t="shared" si="9"/>
        <v>0</v>
      </c>
      <c r="AR90" s="77">
        <f t="shared" si="9"/>
        <v>0</v>
      </c>
      <c r="AS90" s="77">
        <f t="shared" si="8"/>
        <v>0</v>
      </c>
      <c r="AT90" s="77">
        <f t="shared" si="8"/>
        <v>0</v>
      </c>
      <c r="AU90" s="77">
        <f t="shared" si="8"/>
        <v>0</v>
      </c>
      <c r="AV90" s="79">
        <f t="shared" si="8"/>
        <v>3</v>
      </c>
    </row>
    <row r="91" spans="1:48" ht="14.5" x14ac:dyDescent="0.3">
      <c r="A91" s="9" t="s">
        <v>335</v>
      </c>
      <c r="B91" s="10"/>
      <c r="C91" s="10" t="s">
        <v>336</v>
      </c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F91" s="102"/>
      <c r="AG91" s="9" t="s">
        <v>335</v>
      </c>
      <c r="AH91" s="10"/>
      <c r="AI91" s="10" t="s">
        <v>336</v>
      </c>
      <c r="AJ91" s="10">
        <v>2578</v>
      </c>
      <c r="AK91" s="10"/>
      <c r="AL91" s="10"/>
      <c r="AM91" s="10"/>
      <c r="AN91" s="46">
        <v>5778</v>
      </c>
      <c r="AO91" s="108"/>
      <c r="AP91" s="77">
        <f t="shared" si="9"/>
        <v>0</v>
      </c>
      <c r="AQ91" s="77">
        <f t="shared" si="9"/>
        <v>0</v>
      </c>
      <c r="AR91" s="77">
        <f t="shared" si="9"/>
        <v>0</v>
      </c>
      <c r="AS91" s="77">
        <f t="shared" si="8"/>
        <v>0</v>
      </c>
      <c r="AT91" s="77">
        <f t="shared" si="8"/>
        <v>0</v>
      </c>
      <c r="AU91" s="77">
        <f t="shared" si="8"/>
        <v>0</v>
      </c>
      <c r="AV91" s="79">
        <f t="shared" si="8"/>
        <v>0</v>
      </c>
    </row>
    <row r="92" spans="1:48" ht="14.5" x14ac:dyDescent="0.3">
      <c r="A92" s="9" t="s">
        <v>337</v>
      </c>
      <c r="B92" s="10"/>
      <c r="C92" s="10" t="s">
        <v>338</v>
      </c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F92" s="102"/>
      <c r="AG92" s="9" t="s">
        <v>337</v>
      </c>
      <c r="AH92" s="10"/>
      <c r="AI92" s="10" t="s">
        <v>338</v>
      </c>
      <c r="AJ92" s="10">
        <v>2579</v>
      </c>
      <c r="AK92" s="10"/>
      <c r="AL92" s="10"/>
      <c r="AM92" s="10"/>
      <c r="AN92" s="46">
        <v>5779</v>
      </c>
      <c r="AO92" s="108"/>
      <c r="AP92" s="77">
        <f t="shared" si="9"/>
        <v>0</v>
      </c>
      <c r="AQ92" s="77">
        <f t="shared" si="9"/>
        <v>0</v>
      </c>
      <c r="AR92" s="77">
        <f t="shared" si="9"/>
        <v>0</v>
      </c>
      <c r="AS92" s="77">
        <f t="shared" si="8"/>
        <v>0</v>
      </c>
      <c r="AT92" s="77">
        <f t="shared" si="8"/>
        <v>0</v>
      </c>
      <c r="AU92" s="77">
        <f t="shared" si="8"/>
        <v>0</v>
      </c>
      <c r="AV92" s="79">
        <f t="shared" si="8"/>
        <v>1</v>
      </c>
    </row>
    <row r="93" spans="1:48" ht="14.5" x14ac:dyDescent="0.3">
      <c r="A93" s="9" t="s">
        <v>339</v>
      </c>
      <c r="B93" s="10"/>
      <c r="C93" s="10" t="s">
        <v>340</v>
      </c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F93" s="102"/>
      <c r="AG93" s="9" t="s">
        <v>339</v>
      </c>
      <c r="AH93" s="10"/>
      <c r="AI93" s="10" t="s">
        <v>340</v>
      </c>
      <c r="AJ93" s="10">
        <v>2589</v>
      </c>
      <c r="AK93" s="10"/>
      <c r="AL93" s="10"/>
      <c r="AM93" s="10"/>
      <c r="AN93" s="46">
        <v>5788</v>
      </c>
      <c r="AO93" s="108"/>
      <c r="AP93" s="77">
        <f t="shared" si="9"/>
        <v>0</v>
      </c>
      <c r="AQ93" s="77">
        <f t="shared" si="9"/>
        <v>0</v>
      </c>
      <c r="AR93" s="77">
        <f t="shared" si="9"/>
        <v>0</v>
      </c>
      <c r="AS93" s="77">
        <f t="shared" si="8"/>
        <v>0</v>
      </c>
      <c r="AT93" s="77">
        <f t="shared" si="8"/>
        <v>0</v>
      </c>
      <c r="AU93" s="77">
        <f t="shared" si="8"/>
        <v>0</v>
      </c>
      <c r="AV93" s="79">
        <f t="shared" si="8"/>
        <v>1</v>
      </c>
    </row>
    <row r="94" spans="1:48" ht="14.5" x14ac:dyDescent="0.3">
      <c r="A94" s="9" t="s">
        <v>341</v>
      </c>
      <c r="B94" s="10"/>
      <c r="C94" s="10" t="s">
        <v>342</v>
      </c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F94" s="102"/>
      <c r="AG94" s="9" t="s">
        <v>341</v>
      </c>
      <c r="AH94" s="10"/>
      <c r="AI94" s="10" t="s">
        <v>342</v>
      </c>
      <c r="AJ94" s="10">
        <v>2678</v>
      </c>
      <c r="AK94" s="10"/>
      <c r="AL94" s="10"/>
      <c r="AM94" s="10"/>
      <c r="AN94" s="46">
        <v>5799</v>
      </c>
      <c r="AO94" s="108"/>
      <c r="AP94" s="77">
        <f t="shared" si="9"/>
        <v>0</v>
      </c>
      <c r="AQ94" s="77">
        <f t="shared" si="9"/>
        <v>1</v>
      </c>
      <c r="AR94" s="77">
        <f t="shared" si="9"/>
        <v>1</v>
      </c>
      <c r="AS94" s="77">
        <f t="shared" si="8"/>
        <v>0</v>
      </c>
      <c r="AT94" s="77">
        <f t="shared" si="8"/>
        <v>0</v>
      </c>
      <c r="AU94" s="77">
        <f t="shared" si="8"/>
        <v>0</v>
      </c>
      <c r="AV94" s="79">
        <f t="shared" si="8"/>
        <v>0</v>
      </c>
    </row>
    <row r="95" spans="1:48" ht="14.5" x14ac:dyDescent="0.3">
      <c r="A95" s="9" t="s">
        <v>343</v>
      </c>
      <c r="B95" s="10"/>
      <c r="C95" s="10" t="s">
        <v>344</v>
      </c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F95" s="102"/>
      <c r="AG95" s="9" t="s">
        <v>343</v>
      </c>
      <c r="AH95" s="10"/>
      <c r="AI95" s="10" t="s">
        <v>344</v>
      </c>
      <c r="AJ95" s="10">
        <v>2679</v>
      </c>
      <c r="AK95" s="10"/>
      <c r="AL95" s="10"/>
      <c r="AM95" s="10"/>
      <c r="AN95" s="46">
        <v>5889</v>
      </c>
      <c r="AO95" s="108"/>
      <c r="AP95" s="77">
        <f t="shared" si="9"/>
        <v>0</v>
      </c>
      <c r="AQ95" s="77">
        <f t="shared" si="9"/>
        <v>0</v>
      </c>
      <c r="AR95" s="77">
        <f t="shared" si="9"/>
        <v>0</v>
      </c>
      <c r="AS95" s="77">
        <f t="shared" si="8"/>
        <v>0</v>
      </c>
      <c r="AT95" s="77">
        <f t="shared" si="8"/>
        <v>0</v>
      </c>
      <c r="AU95" s="77">
        <f t="shared" si="8"/>
        <v>0</v>
      </c>
      <c r="AV95" s="79">
        <f t="shared" si="8"/>
        <v>0</v>
      </c>
    </row>
    <row r="96" spans="1:48" ht="14.5" x14ac:dyDescent="0.3">
      <c r="A96" s="9" t="s">
        <v>345</v>
      </c>
      <c r="B96" s="10"/>
      <c r="C96" s="10" t="s">
        <v>346</v>
      </c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F96" s="102"/>
      <c r="AG96" s="9" t="s">
        <v>345</v>
      </c>
      <c r="AH96" s="10"/>
      <c r="AI96" s="10" t="s">
        <v>346</v>
      </c>
      <c r="AJ96" s="10">
        <v>2689</v>
      </c>
      <c r="AK96" s="10"/>
      <c r="AL96" s="10"/>
      <c r="AM96" s="10"/>
      <c r="AN96" s="46">
        <v>5899</v>
      </c>
      <c r="AO96" s="108"/>
      <c r="AP96" s="77">
        <f t="shared" si="9"/>
        <v>0</v>
      </c>
      <c r="AQ96" s="77">
        <f t="shared" si="9"/>
        <v>0</v>
      </c>
      <c r="AR96" s="77">
        <f t="shared" si="9"/>
        <v>0</v>
      </c>
      <c r="AS96" s="77">
        <f t="shared" si="8"/>
        <v>0</v>
      </c>
      <c r="AT96" s="77">
        <f t="shared" si="8"/>
        <v>0</v>
      </c>
      <c r="AU96" s="77">
        <f t="shared" si="8"/>
        <v>0</v>
      </c>
      <c r="AV96" s="79">
        <f t="shared" si="8"/>
        <v>0</v>
      </c>
    </row>
    <row r="97" spans="1:48" ht="14.5" x14ac:dyDescent="0.3">
      <c r="A97" s="9" t="s">
        <v>347</v>
      </c>
      <c r="B97" s="10"/>
      <c r="C97" s="10" t="s">
        <v>348</v>
      </c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F97" s="102"/>
      <c r="AG97" s="9" t="s">
        <v>347</v>
      </c>
      <c r="AH97" s="10"/>
      <c r="AI97" s="10" t="s">
        <v>348</v>
      </c>
      <c r="AJ97" s="10">
        <v>2789</v>
      </c>
      <c r="AK97" s="10"/>
      <c r="AL97" s="10"/>
      <c r="AM97" s="10"/>
      <c r="AN97" s="46">
        <v>6678</v>
      </c>
      <c r="AO97" s="108"/>
      <c r="AP97" s="77">
        <f t="shared" si="9"/>
        <v>0</v>
      </c>
      <c r="AQ97" s="77">
        <f t="shared" si="9"/>
        <v>0</v>
      </c>
      <c r="AR97" s="77">
        <f t="shared" si="9"/>
        <v>0</v>
      </c>
      <c r="AS97" s="77">
        <f t="shared" si="8"/>
        <v>0</v>
      </c>
      <c r="AT97" s="77">
        <f t="shared" si="8"/>
        <v>0</v>
      </c>
      <c r="AU97" s="77">
        <f t="shared" si="8"/>
        <v>0</v>
      </c>
      <c r="AV97" s="79">
        <f t="shared" si="8"/>
        <v>2</v>
      </c>
    </row>
    <row r="98" spans="1:48" ht="14.5" x14ac:dyDescent="0.3">
      <c r="A98" s="9" t="s">
        <v>349</v>
      </c>
      <c r="B98" s="10"/>
      <c r="C98" s="10" t="s">
        <v>350</v>
      </c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F98" s="102"/>
      <c r="AG98" s="9" t="s">
        <v>349</v>
      </c>
      <c r="AH98" s="10"/>
      <c r="AI98" s="10" t="s">
        <v>350</v>
      </c>
      <c r="AJ98" s="10"/>
      <c r="AK98" s="10"/>
      <c r="AL98" s="10"/>
      <c r="AM98" s="10"/>
      <c r="AN98" s="46">
        <v>6679</v>
      </c>
      <c r="AO98" s="108"/>
      <c r="AP98" s="77">
        <f t="shared" si="9"/>
        <v>0</v>
      </c>
      <c r="AQ98" s="77">
        <f t="shared" si="9"/>
        <v>0</v>
      </c>
      <c r="AR98" s="77">
        <f t="shared" si="9"/>
        <v>0</v>
      </c>
      <c r="AS98" s="77">
        <f t="shared" si="8"/>
        <v>0</v>
      </c>
      <c r="AT98" s="77">
        <f t="shared" si="8"/>
        <v>0</v>
      </c>
      <c r="AU98" s="77">
        <f t="shared" si="8"/>
        <v>0</v>
      </c>
      <c r="AV98" s="79">
        <f t="shared" si="8"/>
        <v>0</v>
      </c>
    </row>
    <row r="99" spans="1:48" ht="14.5" x14ac:dyDescent="0.3">
      <c r="A99" s="9" t="s">
        <v>351</v>
      </c>
      <c r="B99" s="10"/>
      <c r="C99" s="10" t="s">
        <v>352</v>
      </c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F99" s="102"/>
      <c r="AG99" s="9" t="s">
        <v>351</v>
      </c>
      <c r="AH99" s="10"/>
      <c r="AI99" s="10" t="s">
        <v>352</v>
      </c>
      <c r="AJ99" s="10"/>
      <c r="AK99" s="10"/>
      <c r="AL99" s="10"/>
      <c r="AM99" s="10"/>
      <c r="AN99" s="46">
        <v>6689</v>
      </c>
      <c r="AO99" s="108"/>
      <c r="AP99" s="77">
        <f t="shared" si="9"/>
        <v>0</v>
      </c>
      <c r="AQ99" s="77">
        <f t="shared" si="9"/>
        <v>1</v>
      </c>
      <c r="AR99" s="77">
        <f t="shared" si="9"/>
        <v>0</v>
      </c>
      <c r="AS99" s="77">
        <f t="shared" si="8"/>
        <v>0</v>
      </c>
      <c r="AT99" s="77">
        <f t="shared" si="8"/>
        <v>0</v>
      </c>
      <c r="AU99" s="77">
        <f t="shared" si="8"/>
        <v>0</v>
      </c>
      <c r="AV99" s="79">
        <f t="shared" si="8"/>
        <v>0</v>
      </c>
    </row>
    <row r="100" spans="1:48" ht="15" thickBot="1" x14ac:dyDescent="0.35">
      <c r="A100" s="9" t="s">
        <v>353</v>
      </c>
      <c r="B100" s="10"/>
      <c r="C100" s="10" t="s">
        <v>354</v>
      </c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F100" s="103"/>
      <c r="AG100" s="41" t="s">
        <v>353</v>
      </c>
      <c r="AH100" s="42"/>
      <c r="AI100" s="42" t="s">
        <v>354</v>
      </c>
      <c r="AJ100" s="42"/>
      <c r="AK100" s="42"/>
      <c r="AL100" s="42"/>
      <c r="AM100" s="42"/>
      <c r="AN100" s="47">
        <v>6778</v>
      </c>
      <c r="AO100" s="109"/>
      <c r="AP100" s="80">
        <f t="shared" si="9"/>
        <v>0</v>
      </c>
      <c r="AQ100" s="80">
        <f t="shared" si="9"/>
        <v>0</v>
      </c>
      <c r="AR100" s="80">
        <f t="shared" si="9"/>
        <v>0</v>
      </c>
      <c r="AS100" s="80">
        <f t="shared" si="8"/>
        <v>0</v>
      </c>
      <c r="AT100" s="80">
        <f t="shared" si="8"/>
        <v>0</v>
      </c>
      <c r="AU100" s="80">
        <f t="shared" si="8"/>
        <v>0</v>
      </c>
      <c r="AV100" s="81">
        <f t="shared" si="8"/>
        <v>0</v>
      </c>
    </row>
    <row r="101" spans="1:48" ht="14.5" x14ac:dyDescent="0.3">
      <c r="A101" s="9" t="s">
        <v>355</v>
      </c>
      <c r="B101" s="10"/>
      <c r="C101" s="10" t="s">
        <v>356</v>
      </c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F101" s="101" t="s">
        <v>442</v>
      </c>
      <c r="AG101" s="39" t="s">
        <v>355</v>
      </c>
      <c r="AH101" s="40"/>
      <c r="AI101" s="40" t="s">
        <v>356</v>
      </c>
      <c r="AJ101" s="40"/>
      <c r="AK101" s="40"/>
      <c r="AL101" s="40"/>
      <c r="AM101" s="40"/>
      <c r="AN101" s="48">
        <v>6779</v>
      </c>
      <c r="AO101" s="107">
        <f t="shared" ref="AO101" si="13">SUM(AP101:AV112)</f>
        <v>1</v>
      </c>
      <c r="AP101" s="75">
        <f t="shared" si="9"/>
        <v>0</v>
      </c>
      <c r="AQ101" s="75">
        <f t="shared" si="9"/>
        <v>0</v>
      </c>
      <c r="AR101" s="75">
        <f t="shared" si="9"/>
        <v>0</v>
      </c>
      <c r="AS101" s="75">
        <f t="shared" si="8"/>
        <v>0</v>
      </c>
      <c r="AT101" s="75">
        <f t="shared" si="8"/>
        <v>0</v>
      </c>
      <c r="AU101" s="75">
        <f t="shared" si="8"/>
        <v>0</v>
      </c>
      <c r="AV101" s="76">
        <f t="shared" si="8"/>
        <v>0</v>
      </c>
    </row>
    <row r="102" spans="1:48" ht="14.5" x14ac:dyDescent="0.3">
      <c r="A102" s="9" t="s">
        <v>357</v>
      </c>
      <c r="B102" s="10"/>
      <c r="C102" s="10" t="s">
        <v>358</v>
      </c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F102" s="102"/>
      <c r="AG102" s="9" t="s">
        <v>357</v>
      </c>
      <c r="AH102" s="10"/>
      <c r="AI102" s="10" t="s">
        <v>358</v>
      </c>
      <c r="AJ102" s="10"/>
      <c r="AK102" s="10"/>
      <c r="AL102" s="10"/>
      <c r="AM102" s="10"/>
      <c r="AN102" s="46">
        <v>6788</v>
      </c>
      <c r="AO102" s="108"/>
      <c r="AP102" s="77">
        <f t="shared" si="9"/>
        <v>0</v>
      </c>
      <c r="AQ102" s="77">
        <f t="shared" si="9"/>
        <v>0</v>
      </c>
      <c r="AR102" s="77">
        <f t="shared" si="9"/>
        <v>0</v>
      </c>
      <c r="AS102" s="77">
        <f t="shared" si="8"/>
        <v>0</v>
      </c>
      <c r="AT102" s="77">
        <f t="shared" si="8"/>
        <v>0</v>
      </c>
      <c r="AU102" s="77">
        <f t="shared" si="8"/>
        <v>0</v>
      </c>
      <c r="AV102" s="79">
        <f t="shared" si="8"/>
        <v>0</v>
      </c>
    </row>
    <row r="103" spans="1:48" ht="14.5" x14ac:dyDescent="0.3">
      <c r="A103" s="9" t="s">
        <v>359</v>
      </c>
      <c r="B103" s="10"/>
      <c r="C103" s="10" t="s">
        <v>360</v>
      </c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F103" s="102"/>
      <c r="AG103" s="9" t="s">
        <v>359</v>
      </c>
      <c r="AH103" s="10"/>
      <c r="AI103" s="10" t="s">
        <v>360</v>
      </c>
      <c r="AJ103" s="10"/>
      <c r="AK103" s="10"/>
      <c r="AL103" s="10"/>
      <c r="AM103" s="10"/>
      <c r="AN103" s="46">
        <v>6799</v>
      </c>
      <c r="AO103" s="108"/>
      <c r="AP103" s="77">
        <f t="shared" si="9"/>
        <v>0</v>
      </c>
      <c r="AQ103" s="77">
        <f t="shared" si="9"/>
        <v>0</v>
      </c>
      <c r="AR103" s="77">
        <f t="shared" si="9"/>
        <v>0</v>
      </c>
      <c r="AS103" s="77">
        <f t="shared" si="8"/>
        <v>0</v>
      </c>
      <c r="AT103" s="77">
        <f t="shared" si="8"/>
        <v>0</v>
      </c>
      <c r="AU103" s="77">
        <f t="shared" si="8"/>
        <v>0</v>
      </c>
      <c r="AV103" s="79">
        <f t="shared" si="8"/>
        <v>0</v>
      </c>
    </row>
    <row r="104" spans="1:48" ht="14.5" x14ac:dyDescent="0.3">
      <c r="A104" s="9" t="s">
        <v>361</v>
      </c>
      <c r="B104" s="10"/>
      <c r="C104" s="10" t="s">
        <v>362</v>
      </c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F104" s="102"/>
      <c r="AG104" s="9" t="s">
        <v>361</v>
      </c>
      <c r="AH104" s="10"/>
      <c r="AI104" s="10" t="s">
        <v>362</v>
      </c>
      <c r="AJ104" s="10"/>
      <c r="AK104" s="10"/>
      <c r="AL104" s="10"/>
      <c r="AM104" s="10"/>
      <c r="AN104" s="46">
        <v>6889</v>
      </c>
      <c r="AO104" s="108"/>
      <c r="AP104" s="77">
        <f t="shared" si="9"/>
        <v>0</v>
      </c>
      <c r="AQ104" s="77">
        <f t="shared" si="9"/>
        <v>0</v>
      </c>
      <c r="AR104" s="77">
        <f t="shared" si="9"/>
        <v>0</v>
      </c>
      <c r="AS104" s="77">
        <f t="shared" si="8"/>
        <v>0</v>
      </c>
      <c r="AT104" s="77">
        <f t="shared" si="8"/>
        <v>0</v>
      </c>
      <c r="AU104" s="77">
        <f t="shared" si="8"/>
        <v>0</v>
      </c>
      <c r="AV104" s="79">
        <f t="shared" si="8"/>
        <v>0</v>
      </c>
    </row>
    <row r="105" spans="1:48" ht="14.5" x14ac:dyDescent="0.3">
      <c r="A105" s="9" t="s">
        <v>363</v>
      </c>
      <c r="B105" s="10"/>
      <c r="C105" s="10" t="s">
        <v>364</v>
      </c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F105" s="102"/>
      <c r="AG105" s="9" t="s">
        <v>363</v>
      </c>
      <c r="AH105" s="10"/>
      <c r="AI105" s="10" t="s">
        <v>364</v>
      </c>
      <c r="AJ105" s="10"/>
      <c r="AK105" s="10"/>
      <c r="AL105" s="10"/>
      <c r="AM105" s="10"/>
      <c r="AN105" s="46">
        <v>6899</v>
      </c>
      <c r="AO105" s="108"/>
      <c r="AP105" s="77">
        <f t="shared" si="9"/>
        <v>0</v>
      </c>
      <c r="AQ105" s="77">
        <f t="shared" si="9"/>
        <v>0</v>
      </c>
      <c r="AR105" s="77">
        <f t="shared" si="9"/>
        <v>0</v>
      </c>
      <c r="AS105" s="77">
        <f t="shared" si="8"/>
        <v>0</v>
      </c>
      <c r="AT105" s="77">
        <f t="shared" si="8"/>
        <v>0</v>
      </c>
      <c r="AU105" s="77">
        <f t="shared" si="8"/>
        <v>0</v>
      </c>
      <c r="AV105" s="79">
        <f t="shared" si="8"/>
        <v>0</v>
      </c>
    </row>
    <row r="106" spans="1:48" ht="14.5" x14ac:dyDescent="0.3">
      <c r="A106" s="9" t="s">
        <v>365</v>
      </c>
      <c r="B106" s="10"/>
      <c r="C106" s="10" t="s">
        <v>366</v>
      </c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F106" s="102"/>
      <c r="AG106" s="9" t="s">
        <v>365</v>
      </c>
      <c r="AH106" s="10"/>
      <c r="AI106" s="10" t="s">
        <v>366</v>
      </c>
      <c r="AJ106" s="10"/>
      <c r="AK106" s="10"/>
      <c r="AL106" s="10"/>
      <c r="AM106" s="10"/>
      <c r="AN106" s="46">
        <v>7789</v>
      </c>
      <c r="AO106" s="108"/>
      <c r="AP106" s="77">
        <f t="shared" si="9"/>
        <v>0</v>
      </c>
      <c r="AQ106" s="77">
        <f t="shared" si="9"/>
        <v>0</v>
      </c>
      <c r="AR106" s="77">
        <f t="shared" si="9"/>
        <v>0</v>
      </c>
      <c r="AS106" s="77">
        <f t="shared" si="8"/>
        <v>0</v>
      </c>
      <c r="AT106" s="77">
        <f t="shared" si="8"/>
        <v>0</v>
      </c>
      <c r="AU106" s="77">
        <f t="shared" si="8"/>
        <v>0</v>
      </c>
      <c r="AV106" s="79">
        <f t="shared" si="8"/>
        <v>0</v>
      </c>
    </row>
    <row r="107" spans="1:48" ht="14.5" x14ac:dyDescent="0.3">
      <c r="A107" s="9" t="s">
        <v>367</v>
      </c>
      <c r="B107" s="10"/>
      <c r="C107" s="10" t="s">
        <v>368</v>
      </c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F107" s="102"/>
      <c r="AG107" s="9" t="s">
        <v>367</v>
      </c>
      <c r="AH107" s="10"/>
      <c r="AI107" s="10" t="s">
        <v>368</v>
      </c>
      <c r="AJ107" s="10"/>
      <c r="AK107" s="10"/>
      <c r="AL107" s="10"/>
      <c r="AM107" s="10"/>
      <c r="AN107" s="46">
        <v>7889</v>
      </c>
      <c r="AO107" s="108"/>
      <c r="AP107" s="77">
        <f t="shared" si="9"/>
        <v>0</v>
      </c>
      <c r="AQ107" s="77">
        <f t="shared" si="9"/>
        <v>0</v>
      </c>
      <c r="AR107" s="77">
        <f t="shared" si="9"/>
        <v>0</v>
      </c>
      <c r="AS107" s="77">
        <f t="shared" si="8"/>
        <v>0</v>
      </c>
      <c r="AT107" s="77">
        <f t="shared" si="8"/>
        <v>0</v>
      </c>
      <c r="AU107" s="77">
        <f t="shared" si="8"/>
        <v>0</v>
      </c>
      <c r="AV107" s="79">
        <f t="shared" si="8"/>
        <v>0</v>
      </c>
    </row>
    <row r="108" spans="1:48" ht="14.5" x14ac:dyDescent="0.3">
      <c r="A108" s="9" t="s">
        <v>369</v>
      </c>
      <c r="B108" s="10"/>
      <c r="C108" s="10" t="s">
        <v>370</v>
      </c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F108" s="102"/>
      <c r="AG108" s="9" t="s">
        <v>369</v>
      </c>
      <c r="AH108" s="10"/>
      <c r="AI108" s="10" t="s">
        <v>370</v>
      </c>
      <c r="AJ108" s="10"/>
      <c r="AK108" s="10"/>
      <c r="AL108" s="10"/>
      <c r="AM108" s="10"/>
      <c r="AN108" s="46">
        <v>7899</v>
      </c>
      <c r="AO108" s="108"/>
      <c r="AP108" s="77">
        <f t="shared" si="9"/>
        <v>0</v>
      </c>
      <c r="AQ108" s="77">
        <f t="shared" si="9"/>
        <v>0</v>
      </c>
      <c r="AR108" s="77">
        <f t="shared" si="9"/>
        <v>0</v>
      </c>
      <c r="AS108" s="77">
        <f t="shared" si="8"/>
        <v>0</v>
      </c>
      <c r="AT108" s="77">
        <f t="shared" si="8"/>
        <v>0</v>
      </c>
      <c r="AU108" s="77">
        <f t="shared" si="8"/>
        <v>0</v>
      </c>
      <c r="AV108" s="79">
        <f t="shared" si="8"/>
        <v>1</v>
      </c>
    </row>
    <row r="109" spans="1:48" ht="14.5" x14ac:dyDescent="0.3">
      <c r="A109" s="9" t="s">
        <v>371</v>
      </c>
      <c r="B109" s="10"/>
      <c r="C109" s="10" t="s">
        <v>372</v>
      </c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F109" s="102"/>
      <c r="AG109" s="9" t="s">
        <v>371</v>
      </c>
      <c r="AH109" s="10"/>
      <c r="AI109" s="10" t="s">
        <v>372</v>
      </c>
      <c r="AJ109" s="10"/>
      <c r="AK109" s="10"/>
      <c r="AL109" s="10"/>
      <c r="AM109" s="10"/>
      <c r="AN109" s="46"/>
      <c r="AO109" s="108"/>
      <c r="AP109" s="77">
        <f t="shared" si="9"/>
        <v>0</v>
      </c>
      <c r="AQ109" s="77">
        <f t="shared" si="9"/>
        <v>0</v>
      </c>
      <c r="AR109" s="77">
        <f t="shared" si="9"/>
        <v>0</v>
      </c>
      <c r="AS109" s="77">
        <f t="shared" si="8"/>
        <v>0</v>
      </c>
      <c r="AT109" s="77">
        <f t="shared" si="8"/>
        <v>0</v>
      </c>
      <c r="AU109" s="77">
        <f t="shared" si="8"/>
        <v>0</v>
      </c>
      <c r="AV109" s="79">
        <f t="shared" si="8"/>
        <v>0</v>
      </c>
    </row>
    <row r="110" spans="1:48" ht="14.5" x14ac:dyDescent="0.3">
      <c r="A110" s="9" t="s">
        <v>373</v>
      </c>
      <c r="B110" s="10"/>
      <c r="C110" s="10" t="s">
        <v>374</v>
      </c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F110" s="102"/>
      <c r="AG110" s="9" t="s">
        <v>373</v>
      </c>
      <c r="AH110" s="10"/>
      <c r="AI110" s="10" t="s">
        <v>374</v>
      </c>
      <c r="AJ110" s="10"/>
      <c r="AK110" s="10"/>
      <c r="AL110" s="10"/>
      <c r="AM110" s="10"/>
      <c r="AN110" s="46"/>
      <c r="AO110" s="108"/>
      <c r="AP110" s="77">
        <f t="shared" si="9"/>
        <v>0</v>
      </c>
      <c r="AQ110" s="77">
        <f t="shared" si="9"/>
        <v>0</v>
      </c>
      <c r="AR110" s="77">
        <f t="shared" si="9"/>
        <v>0</v>
      </c>
      <c r="AS110" s="77">
        <f t="shared" si="8"/>
        <v>0</v>
      </c>
      <c r="AT110" s="77">
        <f t="shared" si="8"/>
        <v>0</v>
      </c>
      <c r="AU110" s="77">
        <f t="shared" si="8"/>
        <v>0</v>
      </c>
      <c r="AV110" s="79">
        <f t="shared" si="8"/>
        <v>0</v>
      </c>
    </row>
    <row r="111" spans="1:48" ht="14.5" x14ac:dyDescent="0.3">
      <c r="A111" s="9" t="s">
        <v>375</v>
      </c>
      <c r="B111" s="10"/>
      <c r="C111" s="10" t="s">
        <v>376</v>
      </c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F111" s="102"/>
      <c r="AG111" s="9" t="s">
        <v>375</v>
      </c>
      <c r="AH111" s="10"/>
      <c r="AI111" s="10" t="s">
        <v>376</v>
      </c>
      <c r="AJ111" s="10"/>
      <c r="AK111" s="10"/>
      <c r="AL111" s="10"/>
      <c r="AM111" s="10"/>
      <c r="AN111" s="46"/>
      <c r="AO111" s="108"/>
      <c r="AP111" s="77">
        <f t="shared" si="9"/>
        <v>0</v>
      </c>
      <c r="AQ111" s="77">
        <f t="shared" si="9"/>
        <v>0</v>
      </c>
      <c r="AR111" s="77">
        <f t="shared" si="9"/>
        <v>0</v>
      </c>
      <c r="AS111" s="77">
        <f t="shared" si="8"/>
        <v>0</v>
      </c>
      <c r="AT111" s="77">
        <f t="shared" si="8"/>
        <v>0</v>
      </c>
      <c r="AU111" s="77">
        <f t="shared" si="8"/>
        <v>0</v>
      </c>
      <c r="AV111" s="79">
        <f t="shared" si="8"/>
        <v>0</v>
      </c>
    </row>
    <row r="112" spans="1:48" ht="15" thickBot="1" x14ac:dyDescent="0.35">
      <c r="A112" s="9" t="s">
        <v>377</v>
      </c>
      <c r="B112" s="10"/>
      <c r="C112" s="10" t="s">
        <v>378</v>
      </c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F112" s="103"/>
      <c r="AG112" s="41" t="s">
        <v>377</v>
      </c>
      <c r="AH112" s="42"/>
      <c r="AI112" s="42" t="s">
        <v>378</v>
      </c>
      <c r="AJ112" s="42"/>
      <c r="AK112" s="42"/>
      <c r="AL112" s="42"/>
      <c r="AM112" s="42"/>
      <c r="AN112" s="47"/>
      <c r="AO112" s="109"/>
      <c r="AP112" s="80">
        <f t="shared" si="9"/>
        <v>0</v>
      </c>
      <c r="AQ112" s="80">
        <f t="shared" si="9"/>
        <v>0</v>
      </c>
      <c r="AR112" s="80">
        <f t="shared" si="9"/>
        <v>0</v>
      </c>
      <c r="AS112" s="80">
        <f t="shared" si="8"/>
        <v>0</v>
      </c>
      <c r="AT112" s="80">
        <f t="shared" si="8"/>
        <v>0</v>
      </c>
      <c r="AU112" s="80">
        <f t="shared" si="8"/>
        <v>0</v>
      </c>
      <c r="AV112" s="81">
        <f t="shared" si="8"/>
        <v>0</v>
      </c>
    </row>
  </sheetData>
  <mergeCells count="24">
    <mergeCell ref="B2:AD2"/>
    <mergeCell ref="AH2:AN2"/>
    <mergeCell ref="AY4:BF4"/>
    <mergeCell ref="AF5:AF16"/>
    <mergeCell ref="AO5:AO16"/>
    <mergeCell ref="AX6:AX8"/>
    <mergeCell ref="AX9:AX18"/>
    <mergeCell ref="AF17:AF28"/>
    <mergeCell ref="AO17:AO28"/>
    <mergeCell ref="AX19:AX28"/>
    <mergeCell ref="AF29:AF40"/>
    <mergeCell ref="AO29:AO40"/>
    <mergeCell ref="AF41:AF52"/>
    <mergeCell ref="AO41:AO52"/>
    <mergeCell ref="AF53:AF64"/>
    <mergeCell ref="AO53:AO64"/>
    <mergeCell ref="AF101:AF112"/>
    <mergeCell ref="AO101:AO112"/>
    <mergeCell ref="AF65:AF76"/>
    <mergeCell ref="AO65:AO76"/>
    <mergeCell ref="AF77:AF88"/>
    <mergeCell ref="AO77:AO88"/>
    <mergeCell ref="AF89:AF100"/>
    <mergeCell ref="AO89:AO100"/>
  </mergeCells>
  <conditionalFormatting sqref="A4:AE4 BG4:XFD4">
    <cfRule type="containsText" dxfId="41" priority="28" operator="containsText" text="ABCD">
      <formula>NOT(ISERROR(SEARCH("ABCD",A4)))</formula>
    </cfRule>
    <cfRule type="containsText" dxfId="40" priority="27" operator="containsText" text="AABC">
      <formula>NOT(ISERROR(SEARCH("AABC",A4)))</formula>
    </cfRule>
  </conditionalFormatting>
  <conditionalFormatting sqref="B5:AD112 AY6:BB28">
    <cfRule type="duplicateValues" dxfId="39" priority="18"/>
  </conditionalFormatting>
  <conditionalFormatting sqref="B5:AD112">
    <cfRule type="duplicateValues" dxfId="38" priority="30"/>
    <cfRule type="duplicateValues" dxfId="37" priority="29"/>
  </conditionalFormatting>
  <conditionalFormatting sqref="AG4:AV4">
    <cfRule type="containsText" dxfId="36" priority="3" operator="containsText" text="AABC">
      <formula>NOT(ISERROR(SEARCH("AABC",AG4)))</formula>
    </cfRule>
    <cfRule type="containsText" dxfId="35" priority="4" operator="containsText" text="ABCD">
      <formula>NOT(ISERROR(SEARCH("ABCD",AG4)))</formula>
    </cfRule>
  </conditionalFormatting>
  <conditionalFormatting sqref="AH5:AI112">
    <cfRule type="duplicateValues" dxfId="34" priority="26"/>
    <cfRule type="duplicateValues" dxfId="33" priority="25"/>
  </conditionalFormatting>
  <conditionalFormatting sqref="AH5:AN112 AY6:BB28">
    <cfRule type="duplicateValues" dxfId="32" priority="17"/>
  </conditionalFormatting>
  <conditionalFormatting sqref="AH5:AN112 BC6:BC28">
    <cfRule type="duplicateValues" dxfId="31" priority="13"/>
  </conditionalFormatting>
  <conditionalFormatting sqref="AH5:AN112 BD6:BD28">
    <cfRule type="duplicateValues" dxfId="30" priority="12"/>
  </conditionalFormatting>
  <conditionalFormatting sqref="AJ63:AJ97 AL5:AL112">
    <cfRule type="duplicateValues" dxfId="29" priority="22"/>
    <cfRule type="duplicateValues" dxfId="28" priority="21"/>
  </conditionalFormatting>
  <conditionalFormatting sqref="AJ5:AK62 AJ98:AK112 AK63:AK97">
    <cfRule type="duplicateValues" dxfId="27" priority="24"/>
    <cfRule type="duplicateValues" dxfId="26" priority="23"/>
  </conditionalFormatting>
  <conditionalFormatting sqref="AM25:AM34 AN49:AN78">
    <cfRule type="duplicateValues" dxfId="25" priority="36"/>
    <cfRule type="duplicateValues" dxfId="24" priority="35"/>
  </conditionalFormatting>
  <conditionalFormatting sqref="AM35:AM38 AN79:AN96">
    <cfRule type="duplicateValues" dxfId="23" priority="31"/>
    <cfRule type="duplicateValues" dxfId="22" priority="32"/>
  </conditionalFormatting>
  <conditionalFormatting sqref="AM39 AN97:AN108">
    <cfRule type="duplicateValues" dxfId="21" priority="33"/>
    <cfRule type="duplicateValues" dxfId="20" priority="34"/>
  </conditionalFormatting>
  <conditionalFormatting sqref="AM5:AN24 AM40:AN48 AM49:AM108 AM109:AN112 AN25:AN39">
    <cfRule type="duplicateValues" dxfId="19" priority="19"/>
    <cfRule type="duplicateValues" dxfId="18" priority="20"/>
  </conditionalFormatting>
  <conditionalFormatting sqref="AO5:AO112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P5:AV112">
    <cfRule type="colorScale" priority="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C6:BC28 B5:AD112">
    <cfRule type="duplicateValues" dxfId="17" priority="14"/>
  </conditionalFormatting>
  <conditionalFormatting sqref="BC6:BD28">
    <cfRule type="duplicateValues" dxfId="16" priority="15"/>
    <cfRule type="duplicateValues" dxfId="15" priority="11"/>
  </conditionalFormatting>
  <conditionalFormatting sqref="BD6:BD28 B5:AD112">
    <cfRule type="duplicateValues" dxfId="14" priority="16"/>
  </conditionalFormatting>
  <conditionalFormatting sqref="BD41:BD63">
    <cfRule type="duplicateValues" dxfId="13" priority="5"/>
  </conditionalFormatting>
  <conditionalFormatting sqref="BE6:BE28 B5:AD112">
    <cfRule type="duplicateValues" dxfId="12" priority="8"/>
  </conditionalFormatting>
  <conditionalFormatting sqref="BE6:BE28 AH5:AN112">
    <cfRule type="duplicateValues" dxfId="11" priority="10"/>
  </conditionalFormatting>
  <conditionalFormatting sqref="BE6:BF28">
    <cfRule type="duplicateValues" dxfId="10" priority="9"/>
  </conditionalFormatting>
  <conditionalFormatting sqref="BF6:BF28 B5:AD112">
    <cfRule type="duplicateValues" dxfId="9" priority="7"/>
  </conditionalFormatting>
  <conditionalFormatting sqref="BF6:BF28 AH5:AN112">
    <cfRule type="duplicateValues" dxfId="8" priority="6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E284D-0959-4C9A-9BFF-AFCA13CE5955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P24"/>
  <sheetViews>
    <sheetView zoomScaleNormal="100" workbookViewId="0"/>
  </sheetViews>
  <sheetFormatPr defaultColWidth="8.453125" defaultRowHeight="14.5" x14ac:dyDescent="0.35"/>
  <sheetData>
    <row r="1" spans="1:42" ht="15" customHeight="1" x14ac:dyDescent="0.35">
      <c r="A1" t="s">
        <v>383</v>
      </c>
      <c r="B1" t="s">
        <v>384</v>
      </c>
      <c r="C1" t="s">
        <v>385</v>
      </c>
      <c r="D1" t="s">
        <v>386</v>
      </c>
      <c r="E1" t="s">
        <v>387</v>
      </c>
      <c r="F1" t="s">
        <v>388</v>
      </c>
      <c r="G1" t="s">
        <v>389</v>
      </c>
      <c r="H1" t="s">
        <v>390</v>
      </c>
      <c r="I1" t="s">
        <v>391</v>
      </c>
      <c r="J1" t="s">
        <v>392</v>
      </c>
      <c r="K1" t="s">
        <v>393</v>
      </c>
      <c r="L1" t="s">
        <v>394</v>
      </c>
      <c r="M1" t="s">
        <v>395</v>
      </c>
      <c r="N1" t="s">
        <v>396</v>
      </c>
      <c r="O1" t="s">
        <v>397</v>
      </c>
      <c r="P1" t="s">
        <v>398</v>
      </c>
      <c r="Q1" t="s">
        <v>399</v>
      </c>
      <c r="R1" t="s">
        <v>400</v>
      </c>
      <c r="S1" t="s">
        <v>401</v>
      </c>
      <c r="T1" t="s">
        <v>402</v>
      </c>
      <c r="U1" t="s">
        <v>403</v>
      </c>
      <c r="V1" t="s">
        <v>404</v>
      </c>
      <c r="W1" t="s">
        <v>405</v>
      </c>
      <c r="X1" t="s">
        <v>406</v>
      </c>
      <c r="Y1" t="s">
        <v>407</v>
      </c>
      <c r="Z1" t="s">
        <v>408</v>
      </c>
      <c r="AA1" t="s">
        <v>409</v>
      </c>
      <c r="AB1" t="s">
        <v>410</v>
      </c>
      <c r="AC1" t="s">
        <v>411</v>
      </c>
      <c r="AD1" t="s">
        <v>412</v>
      </c>
      <c r="AE1" t="s">
        <v>413</v>
      </c>
      <c r="AF1" t="s">
        <v>414</v>
      </c>
      <c r="AG1" t="s">
        <v>415</v>
      </c>
      <c r="AH1" t="s">
        <v>416</v>
      </c>
      <c r="AI1" t="s">
        <v>417</v>
      </c>
      <c r="AJ1" t="s">
        <v>418</v>
      </c>
      <c r="AK1" t="s">
        <v>419</v>
      </c>
      <c r="AL1" t="s">
        <v>420</v>
      </c>
      <c r="AM1" t="s">
        <v>421</v>
      </c>
      <c r="AN1" t="s">
        <v>422</v>
      </c>
      <c r="AO1" t="s">
        <v>423</v>
      </c>
      <c r="AP1" t="s">
        <v>424</v>
      </c>
    </row>
    <row r="2" spans="1:42" ht="15" customHeight="1" x14ac:dyDescent="0.35">
      <c r="A2">
        <v>1</v>
      </c>
      <c r="B2" t="e">
        <f>IF(#REF!="","",#REF!)</f>
        <v>#REF!</v>
      </c>
      <c r="C2" t="e">
        <f>IF(#REF!="","",#REF!)</f>
        <v>#REF!</v>
      </c>
      <c r="D2" t="e">
        <f>IF(#REF!="","",#REF!)</f>
        <v>#REF!</v>
      </c>
      <c r="E2" t="e">
        <f>IF(#REF!="","",#REF!)</f>
        <v>#REF!</v>
      </c>
      <c r="F2" t="e">
        <f>IF(#REF!="","",#REF!)</f>
        <v>#REF!</v>
      </c>
      <c r="G2" t="e">
        <f>IF(#REF!="","",#REF!)</f>
        <v>#REF!</v>
      </c>
      <c r="H2" t="e">
        <f>IF(#REF!="","",#REF!)</f>
        <v>#REF!</v>
      </c>
      <c r="I2" t="e">
        <f>IF(#REF!="","",#REF!)</f>
        <v>#REF!</v>
      </c>
      <c r="J2" t="e">
        <f t="shared" ref="J2:J24" si="0">IF(B2="","",IF(ISNUMBER(B2),TEXT(B2,"0000"),B2))</f>
        <v>#REF!</v>
      </c>
      <c r="K2" t="e">
        <f t="shared" ref="K2:K24" si="1">IF(C2="","",IF(ISNUMBER(C2),TEXT(C2,"0000"),C2))</f>
        <v>#REF!</v>
      </c>
      <c r="L2" t="e">
        <f t="shared" ref="L2:L24" si="2">IF(D2="","",IF(ISNUMBER(D2),TEXT(D2,"0000"),D2))</f>
        <v>#REF!</v>
      </c>
      <c r="M2" t="e">
        <f t="shared" ref="M2:M24" si="3">IF(E2="","",IF(ISNUMBER(E2),TEXT(E2,"0000"),E2))</f>
        <v>#REF!</v>
      </c>
      <c r="N2" t="e">
        <f t="shared" ref="N2:N24" si="4">IF(F2="","",IF(ISNUMBER(F2),TEXT(F2,"0000"),F2))</f>
        <v>#REF!</v>
      </c>
      <c r="O2" t="e">
        <f t="shared" ref="O2:O24" si="5">IF(G2="","",IF(ISNUMBER(G2),TEXT(G2,"0000"),G2))</f>
        <v>#REF!</v>
      </c>
      <c r="P2" t="e">
        <f t="shared" ref="P2:P24" si="6">IF(H2="","",IF(ISNUMBER(H2),TEXT(H2,"0000"),H2))</f>
        <v>#REF!</v>
      </c>
      <c r="Q2" t="e">
        <f t="shared" ref="Q2:Q24" si="7">IF(I2="","",IF(ISNUMBER(I2),TEXT(I2,"0000"),I2))</f>
        <v>#REF!</v>
      </c>
      <c r="R2" t="e">
        <f t="shared" ref="R2:R24" si="8">IF(OR(J2="",K2=""),"",IF(J2=K2,"MATCH","NO"))</f>
        <v>#REF!</v>
      </c>
      <c r="S2" t="e">
        <f t="shared" ref="S2:S24" si="9">IF(OR(L2="",N2=""),"",IF(L2=N2,"MATCH","NO"))</f>
        <v>#REF!</v>
      </c>
      <c r="T2" t="e">
        <f t="shared" ref="T2:T24" si="10">IF(OR(M2="",N2=""),"",IF(M2=N2,"MATCH","NO"))</f>
        <v>#REF!</v>
      </c>
      <c r="U2" t="e">
        <f t="shared" ref="U2:U24" si="11">IF(J2="","",(MID(J2,1,1)=MID(J2,2,1))+(MID(J2,1,1)=MID(J2,3,1))+(MID(J2,1,1)=MID(J2,4,1))+(MID(J2,2,1)=MID(J2,3,1))+(MID(J2,2,1)=MID(J2,4,1))+(MID(J2,3,1)=MID(J2,4,1)))</f>
        <v>#REF!</v>
      </c>
      <c r="V2" t="e">
        <f t="shared" ref="V2:V24" si="12">IF(U2="","",IF(U2=6,"AAAA",IF(U2=3,"AAAB",IF(U2=2,"AABB",IF(U2=1,"AABC","ABCD")))))</f>
        <v>#REF!</v>
      </c>
      <c r="W2" t="e">
        <f t="shared" ref="W2:W24" si="13">IF(K2="","",(MID(K2,1,1)=MID(K2,2,1))+(MID(K2,1,1)=MID(K2,3,1))+(MID(K2,1,1)=MID(K2,4,1))+(MID(K2,2,1)=MID(K2,3,1))+(MID(K2,2,1)=MID(K2,4,1))+(MID(K2,3,1)=MID(K2,4,1)))</f>
        <v>#REF!</v>
      </c>
      <c r="X2" t="e">
        <f t="shared" ref="X2:X24" si="14">IF(W2="","",IF(W2=6,"AAAA",IF(W2=3,"AAAB",IF(W2=2,"AABB",IF(W2=1,"AABC","ABCD")))))</f>
        <v>#REF!</v>
      </c>
      <c r="Y2" t="e">
        <f t="shared" ref="Y2:Y24" si="15">IF(OR(V2="",X2=""),"",IF(V2=X2,"YES","NO"))</f>
        <v>#REF!</v>
      </c>
      <c r="Z2" t="e">
        <f t="shared" ref="Z2:Z24" si="16">IF(L2="","",(MID(L2,1,1)=MID(L2,2,1))+(MID(L2,1,1)=MID(L2,3,1))+(MID(L2,1,1)=MID(L2,4,1))+(MID(L2,2,1)=MID(L2,3,1))+(MID(L2,2,1)=MID(L2,4,1))+(MID(L2,3,1)=MID(L2,4,1)))</f>
        <v>#REF!</v>
      </c>
      <c r="AA2" t="e">
        <f t="shared" ref="AA2:AA24" si="17">IF(Z2="","",IF(Z2=6,"AAAA",IF(Z2=3,"AAAB",IF(Z2=2,"AABB",IF(Z2=1,"AABC","ABCD")))))</f>
        <v>#REF!</v>
      </c>
      <c r="AB2" t="e">
        <f t="shared" ref="AB2:AB24" si="18">IF(M2="","",(MID(M2,1,1)=MID(M2,2,1))+(MID(M2,1,1)=MID(M2,3,1))+(MID(M2,1,1)=MID(M2,4,1))+(MID(M2,2,1)=MID(M2,3,1))+(MID(M2,2,1)=MID(M2,4,1))+(MID(M2,3,1)=MID(M2,4,1)))</f>
        <v>#REF!</v>
      </c>
      <c r="AC2" t="e">
        <f t="shared" ref="AC2:AC24" si="19">IF(AB2="","",IF(AB2=6,"AAAA",IF(AB2=3,"AAAB",IF(AB2=2,"AABB",IF(AB2=1,"AABC","ABCD")))))</f>
        <v>#REF!</v>
      </c>
      <c r="AD2" t="e">
        <f t="shared" ref="AD2:AD24" si="20">IF(N2="","",(MID(N2,1,1)=MID(N2,2,1))+(MID(N2,1,1)=MID(N2,3,1))+(MID(N2,1,1)=MID(N2,4,1))+(MID(N2,2,1)=MID(N2,3,1))+(MID(N2,2,1)=MID(N2,4,1))+(MID(N2,3,1)=MID(N2,4,1)))</f>
        <v>#REF!</v>
      </c>
      <c r="AE2" t="e">
        <f t="shared" ref="AE2:AE24" si="21">IF(AD2="","",IF(AD2=6,"AAAA",IF(AD2=3,"AAAB",IF(AD2=2,"AABB",IF(AD2=1,"AABC","ABCD")))))</f>
        <v>#REF!</v>
      </c>
      <c r="AF2" t="e">
        <f t="shared" ref="AF2:AF24" si="22">IF(OR(AA2="",AE2=""),"",IF(AA2=AE2,"YES","NO"))</f>
        <v>#REF!</v>
      </c>
      <c r="AG2" t="e">
        <f t="shared" ref="AG2:AG24" si="23">IF(OR(AC2="",AE2=""),"",IF(AC2=AE2,"YES","NO"))</f>
        <v>#REF!</v>
      </c>
      <c r="AH2" t="e">
        <f t="shared" ref="AH2:AH24" si="24">IF(J2="","",IF(SUMPRODUCT(--(J2=$O$2:$Q$24))&gt;0,"YES","NO"))</f>
        <v>#REF!</v>
      </c>
      <c r="AI2" t="e">
        <f t="shared" ref="AI2:AI24" si="25">IF(L2="","",IF(SUMPRODUCT(--(L2=$O$2:$Q$24))+SUMPRODUCT(--(L2=$K$2:$K$24))&gt;0,"YES","NO"))</f>
        <v>#REF!</v>
      </c>
      <c r="AJ2" t="e">
        <f t="shared" ref="AJ2:AJ24" si="26">IF(M2="","",IF(SUMPRODUCT(--(M2=$O$2:$Q$24))+SUMPRODUCT(--(M2=$K$2:$K$24))&gt;0,"YES","NO"))</f>
        <v>#REF!</v>
      </c>
      <c r="AK2" t="e">
        <f t="shared" ref="AK2:AK24" si="27">IF(O2="","",(MID(O2,1,1)=MID(O2,2,1))+(MID(O2,1,1)=MID(O2,3,1))+(MID(O2,1,1)=MID(O2,4,1))+(MID(O2,2,1)=MID(O2,3,1))+(MID(O2,2,1)=MID(O2,4,1))+(MID(O2,3,1)=MID(O2,4,1)))</f>
        <v>#REF!</v>
      </c>
      <c r="AL2" t="e">
        <f t="shared" ref="AL2:AL24" si="28">IF(AK2="","",IF(AK2=6,"AAAA",IF(AK2=3,"AAAB",IF(AK2=2,"AABB",IF(AK2=1,"AABC","ABCD")))))</f>
        <v>#REF!</v>
      </c>
      <c r="AM2" t="e">
        <f t="shared" ref="AM2:AM24" si="29">IF(P2="","",(MID(P2,1,1)=MID(P2,2,1))+(MID(P2,1,1)=MID(P2,3,1))+(MID(P2,1,1)=MID(P2,4,1))+(MID(P2,2,1)=MID(P2,3,1))+(MID(P2,2,1)=MID(P2,4,1))+(MID(P2,3,1)=MID(P2,4,1)))</f>
        <v>#REF!</v>
      </c>
      <c r="AN2" t="e">
        <f t="shared" ref="AN2:AN24" si="30">IF(AM2="","",IF(AM2=6,"AAAA",IF(AM2=3,"AAAB",IF(AM2=2,"AABB",IF(AM2=1,"AABC","ABCD")))))</f>
        <v>#REF!</v>
      </c>
      <c r="AO2" t="e">
        <f t="shared" ref="AO2:AO24" si="31">IF(Q2="","",(MID(Q2,1,1)=MID(Q2,2,1))+(MID(Q2,1,1)=MID(Q2,3,1))+(MID(Q2,1,1)=MID(Q2,4,1))+(MID(Q2,2,1)=MID(Q2,3,1))+(MID(Q2,2,1)=MID(Q2,4,1))+(MID(Q2,3,1)=MID(Q2,4,1)))</f>
        <v>#REF!</v>
      </c>
      <c r="AP2" t="e">
        <f t="shared" ref="AP2:AP24" si="32">IF(AO2="","",IF(AO2=6,"AAAA",IF(AO2=3,"AAAB",IF(AO2=2,"AABB",IF(AO2=1,"AABC","ABCD")))))</f>
        <v>#REF!</v>
      </c>
    </row>
    <row r="3" spans="1:42" ht="15" customHeight="1" x14ac:dyDescent="0.35">
      <c r="A3">
        <v>2</v>
      </c>
      <c r="B3" t="e">
        <f>IF(#REF!="","",#REF!)</f>
        <v>#REF!</v>
      </c>
      <c r="C3" t="e">
        <f>IF(#REF!="","",#REF!)</f>
        <v>#REF!</v>
      </c>
      <c r="D3" t="e">
        <f>IF(#REF!="","",#REF!)</f>
        <v>#REF!</v>
      </c>
      <c r="E3" t="e">
        <f>IF(#REF!="","",#REF!)</f>
        <v>#REF!</v>
      </c>
      <c r="F3" t="e">
        <f>IF(#REF!="","",#REF!)</f>
        <v>#REF!</v>
      </c>
      <c r="G3" t="e">
        <f>IF(#REF!="","",#REF!)</f>
        <v>#REF!</v>
      </c>
      <c r="H3" t="e">
        <f>IF(#REF!="","",#REF!)</f>
        <v>#REF!</v>
      </c>
      <c r="I3" t="e">
        <f>IF(#REF!="","",#REF!)</f>
        <v>#REF!</v>
      </c>
      <c r="J3" t="e">
        <f t="shared" si="0"/>
        <v>#REF!</v>
      </c>
      <c r="K3" t="e">
        <f t="shared" si="1"/>
        <v>#REF!</v>
      </c>
      <c r="L3" t="e">
        <f t="shared" si="2"/>
        <v>#REF!</v>
      </c>
      <c r="M3" t="e">
        <f t="shared" si="3"/>
        <v>#REF!</v>
      </c>
      <c r="N3" t="e">
        <f t="shared" si="4"/>
        <v>#REF!</v>
      </c>
      <c r="O3" t="e">
        <f t="shared" si="5"/>
        <v>#REF!</v>
      </c>
      <c r="P3" t="e">
        <f t="shared" si="6"/>
        <v>#REF!</v>
      </c>
      <c r="Q3" t="e">
        <f t="shared" si="7"/>
        <v>#REF!</v>
      </c>
      <c r="R3" t="e">
        <f t="shared" si="8"/>
        <v>#REF!</v>
      </c>
      <c r="S3" t="e">
        <f t="shared" si="9"/>
        <v>#REF!</v>
      </c>
      <c r="T3" t="e">
        <f t="shared" si="10"/>
        <v>#REF!</v>
      </c>
      <c r="U3" t="e">
        <f t="shared" si="11"/>
        <v>#REF!</v>
      </c>
      <c r="V3" t="e">
        <f t="shared" si="12"/>
        <v>#REF!</v>
      </c>
      <c r="W3" t="e">
        <f t="shared" si="13"/>
        <v>#REF!</v>
      </c>
      <c r="X3" t="e">
        <f t="shared" si="14"/>
        <v>#REF!</v>
      </c>
      <c r="Y3" t="e">
        <f t="shared" si="15"/>
        <v>#REF!</v>
      </c>
      <c r="Z3" t="e">
        <f t="shared" si="16"/>
        <v>#REF!</v>
      </c>
      <c r="AA3" t="e">
        <f t="shared" si="17"/>
        <v>#REF!</v>
      </c>
      <c r="AB3" t="e">
        <f t="shared" si="18"/>
        <v>#REF!</v>
      </c>
      <c r="AC3" t="e">
        <f t="shared" si="19"/>
        <v>#REF!</v>
      </c>
      <c r="AD3" t="e">
        <f t="shared" si="20"/>
        <v>#REF!</v>
      </c>
      <c r="AE3" t="e">
        <f t="shared" si="21"/>
        <v>#REF!</v>
      </c>
      <c r="AF3" t="e">
        <f t="shared" si="22"/>
        <v>#REF!</v>
      </c>
      <c r="AG3" t="e">
        <f t="shared" si="23"/>
        <v>#REF!</v>
      </c>
      <c r="AH3" t="e">
        <f t="shared" si="24"/>
        <v>#REF!</v>
      </c>
      <c r="AI3" t="e">
        <f t="shared" si="25"/>
        <v>#REF!</v>
      </c>
      <c r="AJ3" t="e">
        <f t="shared" si="26"/>
        <v>#REF!</v>
      </c>
      <c r="AK3" t="e">
        <f t="shared" si="27"/>
        <v>#REF!</v>
      </c>
      <c r="AL3" t="e">
        <f t="shared" si="28"/>
        <v>#REF!</v>
      </c>
      <c r="AM3" t="e">
        <f t="shared" si="29"/>
        <v>#REF!</v>
      </c>
      <c r="AN3" t="e">
        <f t="shared" si="30"/>
        <v>#REF!</v>
      </c>
      <c r="AO3" t="e">
        <f t="shared" si="31"/>
        <v>#REF!</v>
      </c>
      <c r="AP3" t="e">
        <f t="shared" si="32"/>
        <v>#REF!</v>
      </c>
    </row>
    <row r="4" spans="1:42" ht="15" customHeight="1" x14ac:dyDescent="0.35">
      <c r="A4">
        <v>3</v>
      </c>
      <c r="B4" t="e">
        <f>IF(#REF!="","",#REF!)</f>
        <v>#REF!</v>
      </c>
      <c r="C4" t="e">
        <f>IF(#REF!="","",#REF!)</f>
        <v>#REF!</v>
      </c>
      <c r="D4" t="e">
        <f>IF(#REF!="","",#REF!)</f>
        <v>#REF!</v>
      </c>
      <c r="E4" t="e">
        <f>IF(#REF!="","",#REF!)</f>
        <v>#REF!</v>
      </c>
      <c r="F4" t="e">
        <f>IF(#REF!="","",#REF!)</f>
        <v>#REF!</v>
      </c>
      <c r="G4" t="e">
        <f>IF(#REF!="","",#REF!)</f>
        <v>#REF!</v>
      </c>
      <c r="H4" t="e">
        <f>IF(#REF!="","",#REF!)</f>
        <v>#REF!</v>
      </c>
      <c r="I4" t="e">
        <f>IF(#REF!="","",#REF!)</f>
        <v>#REF!</v>
      </c>
      <c r="J4" t="e">
        <f t="shared" si="0"/>
        <v>#REF!</v>
      </c>
      <c r="K4" t="e">
        <f t="shared" si="1"/>
        <v>#REF!</v>
      </c>
      <c r="L4" t="e">
        <f t="shared" si="2"/>
        <v>#REF!</v>
      </c>
      <c r="M4" t="e">
        <f t="shared" si="3"/>
        <v>#REF!</v>
      </c>
      <c r="N4" t="e">
        <f t="shared" si="4"/>
        <v>#REF!</v>
      </c>
      <c r="O4" t="e">
        <f t="shared" si="5"/>
        <v>#REF!</v>
      </c>
      <c r="P4" t="e">
        <f t="shared" si="6"/>
        <v>#REF!</v>
      </c>
      <c r="Q4" t="e">
        <f t="shared" si="7"/>
        <v>#REF!</v>
      </c>
      <c r="R4" t="e">
        <f t="shared" si="8"/>
        <v>#REF!</v>
      </c>
      <c r="S4" t="e">
        <f t="shared" si="9"/>
        <v>#REF!</v>
      </c>
      <c r="T4" t="e">
        <f t="shared" si="10"/>
        <v>#REF!</v>
      </c>
      <c r="U4" t="e">
        <f t="shared" si="11"/>
        <v>#REF!</v>
      </c>
      <c r="V4" t="e">
        <f t="shared" si="12"/>
        <v>#REF!</v>
      </c>
      <c r="W4" t="e">
        <f t="shared" si="13"/>
        <v>#REF!</v>
      </c>
      <c r="X4" t="e">
        <f t="shared" si="14"/>
        <v>#REF!</v>
      </c>
      <c r="Y4" t="e">
        <f t="shared" si="15"/>
        <v>#REF!</v>
      </c>
      <c r="Z4" t="e">
        <f t="shared" si="16"/>
        <v>#REF!</v>
      </c>
      <c r="AA4" t="e">
        <f t="shared" si="17"/>
        <v>#REF!</v>
      </c>
      <c r="AB4" t="e">
        <f t="shared" si="18"/>
        <v>#REF!</v>
      </c>
      <c r="AC4" t="e">
        <f t="shared" si="19"/>
        <v>#REF!</v>
      </c>
      <c r="AD4" t="e">
        <f t="shared" si="20"/>
        <v>#REF!</v>
      </c>
      <c r="AE4" t="e">
        <f t="shared" si="21"/>
        <v>#REF!</v>
      </c>
      <c r="AF4" t="e">
        <f t="shared" si="22"/>
        <v>#REF!</v>
      </c>
      <c r="AG4" t="e">
        <f t="shared" si="23"/>
        <v>#REF!</v>
      </c>
      <c r="AH4" t="e">
        <f t="shared" si="24"/>
        <v>#REF!</v>
      </c>
      <c r="AI4" t="e">
        <f t="shared" si="25"/>
        <v>#REF!</v>
      </c>
      <c r="AJ4" t="e">
        <f t="shared" si="26"/>
        <v>#REF!</v>
      </c>
      <c r="AK4" t="e">
        <f t="shared" si="27"/>
        <v>#REF!</v>
      </c>
      <c r="AL4" t="e">
        <f t="shared" si="28"/>
        <v>#REF!</v>
      </c>
      <c r="AM4" t="e">
        <f t="shared" si="29"/>
        <v>#REF!</v>
      </c>
      <c r="AN4" t="e">
        <f t="shared" si="30"/>
        <v>#REF!</v>
      </c>
      <c r="AO4" t="e">
        <f t="shared" si="31"/>
        <v>#REF!</v>
      </c>
      <c r="AP4" t="e">
        <f t="shared" si="32"/>
        <v>#REF!</v>
      </c>
    </row>
    <row r="5" spans="1:42" ht="15" customHeight="1" x14ac:dyDescent="0.35">
      <c r="A5">
        <v>4</v>
      </c>
      <c r="B5" t="e">
        <f>IF(#REF!="","",#REF!)</f>
        <v>#REF!</v>
      </c>
      <c r="C5" t="e">
        <f>IF(#REF!="","",#REF!)</f>
        <v>#REF!</v>
      </c>
      <c r="D5" t="e">
        <f>IF(#REF!="","",#REF!)</f>
        <v>#REF!</v>
      </c>
      <c r="E5" t="e">
        <f>IF(#REF!="","",#REF!)</f>
        <v>#REF!</v>
      </c>
      <c r="F5" t="e">
        <f>IF(#REF!="","",#REF!)</f>
        <v>#REF!</v>
      </c>
      <c r="G5" t="e">
        <f>IF(#REF!="","",#REF!)</f>
        <v>#REF!</v>
      </c>
      <c r="H5" t="e">
        <f>IF(#REF!="","",#REF!)</f>
        <v>#REF!</v>
      </c>
      <c r="I5" t="e">
        <f>IF(#REF!="","",#REF!)</f>
        <v>#REF!</v>
      </c>
      <c r="J5" t="e">
        <f t="shared" si="0"/>
        <v>#REF!</v>
      </c>
      <c r="K5" t="e">
        <f t="shared" si="1"/>
        <v>#REF!</v>
      </c>
      <c r="L5" t="e">
        <f t="shared" si="2"/>
        <v>#REF!</v>
      </c>
      <c r="M5" t="e">
        <f t="shared" si="3"/>
        <v>#REF!</v>
      </c>
      <c r="N5" t="e">
        <f t="shared" si="4"/>
        <v>#REF!</v>
      </c>
      <c r="O5" t="e">
        <f t="shared" si="5"/>
        <v>#REF!</v>
      </c>
      <c r="P5" t="e">
        <f t="shared" si="6"/>
        <v>#REF!</v>
      </c>
      <c r="Q5" t="e">
        <f t="shared" si="7"/>
        <v>#REF!</v>
      </c>
      <c r="R5" t="e">
        <f t="shared" si="8"/>
        <v>#REF!</v>
      </c>
      <c r="S5" t="e">
        <f t="shared" si="9"/>
        <v>#REF!</v>
      </c>
      <c r="T5" t="e">
        <f t="shared" si="10"/>
        <v>#REF!</v>
      </c>
      <c r="U5" t="e">
        <f t="shared" si="11"/>
        <v>#REF!</v>
      </c>
      <c r="V5" t="e">
        <f t="shared" si="12"/>
        <v>#REF!</v>
      </c>
      <c r="W5" t="e">
        <f t="shared" si="13"/>
        <v>#REF!</v>
      </c>
      <c r="X5" t="e">
        <f t="shared" si="14"/>
        <v>#REF!</v>
      </c>
      <c r="Y5" t="e">
        <f t="shared" si="15"/>
        <v>#REF!</v>
      </c>
      <c r="Z5" t="e">
        <f t="shared" si="16"/>
        <v>#REF!</v>
      </c>
      <c r="AA5" t="e">
        <f t="shared" si="17"/>
        <v>#REF!</v>
      </c>
      <c r="AB5" t="e">
        <f t="shared" si="18"/>
        <v>#REF!</v>
      </c>
      <c r="AC5" t="e">
        <f t="shared" si="19"/>
        <v>#REF!</v>
      </c>
      <c r="AD5" t="e">
        <f t="shared" si="20"/>
        <v>#REF!</v>
      </c>
      <c r="AE5" t="e">
        <f t="shared" si="21"/>
        <v>#REF!</v>
      </c>
      <c r="AF5" t="e">
        <f t="shared" si="22"/>
        <v>#REF!</v>
      </c>
      <c r="AG5" t="e">
        <f t="shared" si="23"/>
        <v>#REF!</v>
      </c>
      <c r="AH5" t="e">
        <f t="shared" si="24"/>
        <v>#REF!</v>
      </c>
      <c r="AI5" t="e">
        <f t="shared" si="25"/>
        <v>#REF!</v>
      </c>
      <c r="AJ5" t="e">
        <f t="shared" si="26"/>
        <v>#REF!</v>
      </c>
      <c r="AK5" t="e">
        <f t="shared" si="27"/>
        <v>#REF!</v>
      </c>
      <c r="AL5" t="e">
        <f t="shared" si="28"/>
        <v>#REF!</v>
      </c>
      <c r="AM5" t="e">
        <f t="shared" si="29"/>
        <v>#REF!</v>
      </c>
      <c r="AN5" t="e">
        <f t="shared" si="30"/>
        <v>#REF!</v>
      </c>
      <c r="AO5" t="e">
        <f t="shared" si="31"/>
        <v>#REF!</v>
      </c>
      <c r="AP5" t="e">
        <f t="shared" si="32"/>
        <v>#REF!</v>
      </c>
    </row>
    <row r="6" spans="1:42" ht="15" customHeight="1" x14ac:dyDescent="0.35">
      <c r="A6">
        <v>5</v>
      </c>
      <c r="B6" t="e">
        <f>IF(#REF!="","",#REF!)</f>
        <v>#REF!</v>
      </c>
      <c r="C6" t="e">
        <f>IF(#REF!="","",#REF!)</f>
        <v>#REF!</v>
      </c>
      <c r="D6" t="e">
        <f>IF(#REF!="","",#REF!)</f>
        <v>#REF!</v>
      </c>
      <c r="E6" t="e">
        <f>IF(#REF!="","",#REF!)</f>
        <v>#REF!</v>
      </c>
      <c r="F6" t="e">
        <f>IF(#REF!="","",#REF!)</f>
        <v>#REF!</v>
      </c>
      <c r="G6" t="e">
        <f>IF(#REF!="","",#REF!)</f>
        <v>#REF!</v>
      </c>
      <c r="H6" t="e">
        <f>IF(#REF!="","",#REF!)</f>
        <v>#REF!</v>
      </c>
      <c r="I6" t="e">
        <f>IF(#REF!="","",#REF!)</f>
        <v>#REF!</v>
      </c>
      <c r="J6" t="e">
        <f t="shared" si="0"/>
        <v>#REF!</v>
      </c>
      <c r="K6" t="e">
        <f t="shared" si="1"/>
        <v>#REF!</v>
      </c>
      <c r="L6" t="e">
        <f t="shared" si="2"/>
        <v>#REF!</v>
      </c>
      <c r="M6" t="e">
        <f t="shared" si="3"/>
        <v>#REF!</v>
      </c>
      <c r="N6" t="e">
        <f t="shared" si="4"/>
        <v>#REF!</v>
      </c>
      <c r="O6" t="e">
        <f t="shared" si="5"/>
        <v>#REF!</v>
      </c>
      <c r="P6" t="e">
        <f t="shared" si="6"/>
        <v>#REF!</v>
      </c>
      <c r="Q6" t="e">
        <f t="shared" si="7"/>
        <v>#REF!</v>
      </c>
      <c r="R6" t="e">
        <f t="shared" si="8"/>
        <v>#REF!</v>
      </c>
      <c r="S6" t="e">
        <f t="shared" si="9"/>
        <v>#REF!</v>
      </c>
      <c r="T6" t="e">
        <f t="shared" si="10"/>
        <v>#REF!</v>
      </c>
      <c r="U6" t="e">
        <f t="shared" si="11"/>
        <v>#REF!</v>
      </c>
      <c r="V6" t="e">
        <f t="shared" si="12"/>
        <v>#REF!</v>
      </c>
      <c r="W6" t="e">
        <f t="shared" si="13"/>
        <v>#REF!</v>
      </c>
      <c r="X6" t="e">
        <f t="shared" si="14"/>
        <v>#REF!</v>
      </c>
      <c r="Y6" t="e">
        <f t="shared" si="15"/>
        <v>#REF!</v>
      </c>
      <c r="Z6" t="e">
        <f t="shared" si="16"/>
        <v>#REF!</v>
      </c>
      <c r="AA6" t="e">
        <f t="shared" si="17"/>
        <v>#REF!</v>
      </c>
      <c r="AB6" t="e">
        <f t="shared" si="18"/>
        <v>#REF!</v>
      </c>
      <c r="AC6" t="e">
        <f t="shared" si="19"/>
        <v>#REF!</v>
      </c>
      <c r="AD6" t="e">
        <f t="shared" si="20"/>
        <v>#REF!</v>
      </c>
      <c r="AE6" t="e">
        <f t="shared" si="21"/>
        <v>#REF!</v>
      </c>
      <c r="AF6" t="e">
        <f t="shared" si="22"/>
        <v>#REF!</v>
      </c>
      <c r="AG6" t="e">
        <f t="shared" si="23"/>
        <v>#REF!</v>
      </c>
      <c r="AH6" t="e">
        <f t="shared" si="24"/>
        <v>#REF!</v>
      </c>
      <c r="AI6" t="e">
        <f t="shared" si="25"/>
        <v>#REF!</v>
      </c>
      <c r="AJ6" t="e">
        <f t="shared" si="26"/>
        <v>#REF!</v>
      </c>
      <c r="AK6" t="e">
        <f t="shared" si="27"/>
        <v>#REF!</v>
      </c>
      <c r="AL6" t="e">
        <f t="shared" si="28"/>
        <v>#REF!</v>
      </c>
      <c r="AM6" t="e">
        <f t="shared" si="29"/>
        <v>#REF!</v>
      </c>
      <c r="AN6" t="e">
        <f t="shared" si="30"/>
        <v>#REF!</v>
      </c>
      <c r="AO6" t="e">
        <f t="shared" si="31"/>
        <v>#REF!</v>
      </c>
      <c r="AP6" t="e">
        <f t="shared" si="32"/>
        <v>#REF!</v>
      </c>
    </row>
    <row r="7" spans="1:42" ht="15" customHeight="1" x14ac:dyDescent="0.35">
      <c r="A7">
        <v>6</v>
      </c>
      <c r="B7" t="e">
        <f>IF(#REF!="","",#REF!)</f>
        <v>#REF!</v>
      </c>
      <c r="C7" t="e">
        <f>IF(#REF!="","",#REF!)</f>
        <v>#REF!</v>
      </c>
      <c r="D7" t="e">
        <f>IF(#REF!="","",#REF!)</f>
        <v>#REF!</v>
      </c>
      <c r="E7" t="e">
        <f>IF(#REF!="","",#REF!)</f>
        <v>#REF!</v>
      </c>
      <c r="F7" t="e">
        <f>IF(#REF!="","",#REF!)</f>
        <v>#REF!</v>
      </c>
      <c r="G7" t="e">
        <f>IF(#REF!="","",#REF!)</f>
        <v>#REF!</v>
      </c>
      <c r="H7" t="e">
        <f>IF(#REF!="","",#REF!)</f>
        <v>#REF!</v>
      </c>
      <c r="I7" t="e">
        <f>IF(#REF!="","",#REF!)</f>
        <v>#REF!</v>
      </c>
      <c r="J7" t="e">
        <f t="shared" si="0"/>
        <v>#REF!</v>
      </c>
      <c r="K7" t="e">
        <f t="shared" si="1"/>
        <v>#REF!</v>
      </c>
      <c r="L7" t="e">
        <f t="shared" si="2"/>
        <v>#REF!</v>
      </c>
      <c r="M7" t="e">
        <f t="shared" si="3"/>
        <v>#REF!</v>
      </c>
      <c r="N7" t="e">
        <f t="shared" si="4"/>
        <v>#REF!</v>
      </c>
      <c r="O7" t="e">
        <f t="shared" si="5"/>
        <v>#REF!</v>
      </c>
      <c r="P7" t="e">
        <f t="shared" si="6"/>
        <v>#REF!</v>
      </c>
      <c r="Q7" t="e">
        <f t="shared" si="7"/>
        <v>#REF!</v>
      </c>
      <c r="R7" t="e">
        <f t="shared" si="8"/>
        <v>#REF!</v>
      </c>
      <c r="S7" t="e">
        <f t="shared" si="9"/>
        <v>#REF!</v>
      </c>
      <c r="T7" t="e">
        <f t="shared" si="10"/>
        <v>#REF!</v>
      </c>
      <c r="U7" t="e">
        <f t="shared" si="11"/>
        <v>#REF!</v>
      </c>
      <c r="V7" t="e">
        <f t="shared" si="12"/>
        <v>#REF!</v>
      </c>
      <c r="W7" t="e">
        <f t="shared" si="13"/>
        <v>#REF!</v>
      </c>
      <c r="X7" t="e">
        <f t="shared" si="14"/>
        <v>#REF!</v>
      </c>
      <c r="Y7" t="e">
        <f t="shared" si="15"/>
        <v>#REF!</v>
      </c>
      <c r="Z7" t="e">
        <f t="shared" si="16"/>
        <v>#REF!</v>
      </c>
      <c r="AA7" t="e">
        <f t="shared" si="17"/>
        <v>#REF!</v>
      </c>
      <c r="AB7" t="e">
        <f t="shared" si="18"/>
        <v>#REF!</v>
      </c>
      <c r="AC7" t="e">
        <f t="shared" si="19"/>
        <v>#REF!</v>
      </c>
      <c r="AD7" t="e">
        <f t="shared" si="20"/>
        <v>#REF!</v>
      </c>
      <c r="AE7" t="e">
        <f t="shared" si="21"/>
        <v>#REF!</v>
      </c>
      <c r="AF7" t="e">
        <f t="shared" si="22"/>
        <v>#REF!</v>
      </c>
      <c r="AG7" t="e">
        <f t="shared" si="23"/>
        <v>#REF!</v>
      </c>
      <c r="AH7" t="e">
        <f t="shared" si="24"/>
        <v>#REF!</v>
      </c>
      <c r="AI7" t="e">
        <f t="shared" si="25"/>
        <v>#REF!</v>
      </c>
      <c r="AJ7" t="e">
        <f t="shared" si="26"/>
        <v>#REF!</v>
      </c>
      <c r="AK7" t="e">
        <f t="shared" si="27"/>
        <v>#REF!</v>
      </c>
      <c r="AL7" t="e">
        <f t="shared" si="28"/>
        <v>#REF!</v>
      </c>
      <c r="AM7" t="e">
        <f t="shared" si="29"/>
        <v>#REF!</v>
      </c>
      <c r="AN7" t="e">
        <f t="shared" si="30"/>
        <v>#REF!</v>
      </c>
      <c r="AO7" t="e">
        <f t="shared" si="31"/>
        <v>#REF!</v>
      </c>
      <c r="AP7" t="e">
        <f t="shared" si="32"/>
        <v>#REF!</v>
      </c>
    </row>
    <row r="8" spans="1:42" ht="15" customHeight="1" x14ac:dyDescent="0.35">
      <c r="A8">
        <v>7</v>
      </c>
      <c r="B8" t="e">
        <f>IF(#REF!="","",#REF!)</f>
        <v>#REF!</v>
      </c>
      <c r="C8" t="e">
        <f>IF(#REF!="","",#REF!)</f>
        <v>#REF!</v>
      </c>
      <c r="D8" t="e">
        <f>IF(#REF!="","",#REF!)</f>
        <v>#REF!</v>
      </c>
      <c r="E8" t="e">
        <f>IF(#REF!="","",#REF!)</f>
        <v>#REF!</v>
      </c>
      <c r="F8" t="e">
        <f>IF(#REF!="","",#REF!)</f>
        <v>#REF!</v>
      </c>
      <c r="G8" t="e">
        <f>IF(#REF!="","",#REF!)</f>
        <v>#REF!</v>
      </c>
      <c r="H8" t="e">
        <f>IF(#REF!="","",#REF!)</f>
        <v>#REF!</v>
      </c>
      <c r="I8" t="e">
        <f>IF(#REF!="","",#REF!)</f>
        <v>#REF!</v>
      </c>
      <c r="J8" t="e">
        <f t="shared" si="0"/>
        <v>#REF!</v>
      </c>
      <c r="K8" t="e">
        <f t="shared" si="1"/>
        <v>#REF!</v>
      </c>
      <c r="L8" t="e">
        <f t="shared" si="2"/>
        <v>#REF!</v>
      </c>
      <c r="M8" t="e">
        <f t="shared" si="3"/>
        <v>#REF!</v>
      </c>
      <c r="N8" t="e">
        <f t="shared" si="4"/>
        <v>#REF!</v>
      </c>
      <c r="O8" t="e">
        <f t="shared" si="5"/>
        <v>#REF!</v>
      </c>
      <c r="P8" t="e">
        <f t="shared" si="6"/>
        <v>#REF!</v>
      </c>
      <c r="Q8" t="e">
        <f t="shared" si="7"/>
        <v>#REF!</v>
      </c>
      <c r="R8" t="e">
        <f t="shared" si="8"/>
        <v>#REF!</v>
      </c>
      <c r="S8" t="e">
        <f t="shared" si="9"/>
        <v>#REF!</v>
      </c>
      <c r="T8" t="e">
        <f t="shared" si="10"/>
        <v>#REF!</v>
      </c>
      <c r="U8" t="e">
        <f t="shared" si="11"/>
        <v>#REF!</v>
      </c>
      <c r="V8" t="e">
        <f t="shared" si="12"/>
        <v>#REF!</v>
      </c>
      <c r="W8" t="e">
        <f t="shared" si="13"/>
        <v>#REF!</v>
      </c>
      <c r="X8" t="e">
        <f t="shared" si="14"/>
        <v>#REF!</v>
      </c>
      <c r="Y8" t="e">
        <f t="shared" si="15"/>
        <v>#REF!</v>
      </c>
      <c r="Z8" t="e">
        <f t="shared" si="16"/>
        <v>#REF!</v>
      </c>
      <c r="AA8" t="e">
        <f t="shared" si="17"/>
        <v>#REF!</v>
      </c>
      <c r="AB8" t="e">
        <f t="shared" si="18"/>
        <v>#REF!</v>
      </c>
      <c r="AC8" t="e">
        <f t="shared" si="19"/>
        <v>#REF!</v>
      </c>
      <c r="AD8" t="e">
        <f t="shared" si="20"/>
        <v>#REF!</v>
      </c>
      <c r="AE8" t="e">
        <f t="shared" si="21"/>
        <v>#REF!</v>
      </c>
      <c r="AF8" t="e">
        <f t="shared" si="22"/>
        <v>#REF!</v>
      </c>
      <c r="AG8" t="e">
        <f t="shared" si="23"/>
        <v>#REF!</v>
      </c>
      <c r="AH8" t="e">
        <f t="shared" si="24"/>
        <v>#REF!</v>
      </c>
      <c r="AI8" t="e">
        <f t="shared" si="25"/>
        <v>#REF!</v>
      </c>
      <c r="AJ8" t="e">
        <f t="shared" si="26"/>
        <v>#REF!</v>
      </c>
      <c r="AK8" t="e">
        <f t="shared" si="27"/>
        <v>#REF!</v>
      </c>
      <c r="AL8" t="e">
        <f t="shared" si="28"/>
        <v>#REF!</v>
      </c>
      <c r="AM8" t="e">
        <f t="shared" si="29"/>
        <v>#REF!</v>
      </c>
      <c r="AN8" t="e">
        <f t="shared" si="30"/>
        <v>#REF!</v>
      </c>
      <c r="AO8" t="e">
        <f t="shared" si="31"/>
        <v>#REF!</v>
      </c>
      <c r="AP8" t="e">
        <f t="shared" si="32"/>
        <v>#REF!</v>
      </c>
    </row>
    <row r="9" spans="1:42" ht="15" customHeight="1" x14ac:dyDescent="0.35">
      <c r="A9">
        <v>8</v>
      </c>
      <c r="B9" t="e">
        <f>IF(#REF!="","",#REF!)</f>
        <v>#REF!</v>
      </c>
      <c r="C9" t="e">
        <f>IF(#REF!="","",#REF!)</f>
        <v>#REF!</v>
      </c>
      <c r="D9" t="e">
        <f>IF(#REF!="","",#REF!)</f>
        <v>#REF!</v>
      </c>
      <c r="E9" t="e">
        <f>IF(#REF!="","",#REF!)</f>
        <v>#REF!</v>
      </c>
      <c r="F9" t="e">
        <f>IF(#REF!="","",#REF!)</f>
        <v>#REF!</v>
      </c>
      <c r="G9" t="e">
        <f>IF(#REF!="","",#REF!)</f>
        <v>#REF!</v>
      </c>
      <c r="H9" t="e">
        <f>IF(#REF!="","",#REF!)</f>
        <v>#REF!</v>
      </c>
      <c r="I9" t="e">
        <f>IF(#REF!="","",#REF!)</f>
        <v>#REF!</v>
      </c>
      <c r="J9" t="e">
        <f t="shared" si="0"/>
        <v>#REF!</v>
      </c>
      <c r="K9" t="e">
        <f t="shared" si="1"/>
        <v>#REF!</v>
      </c>
      <c r="L9" t="e">
        <f t="shared" si="2"/>
        <v>#REF!</v>
      </c>
      <c r="M9" t="e">
        <f t="shared" si="3"/>
        <v>#REF!</v>
      </c>
      <c r="N9" t="e">
        <f t="shared" si="4"/>
        <v>#REF!</v>
      </c>
      <c r="O9" t="e">
        <f t="shared" si="5"/>
        <v>#REF!</v>
      </c>
      <c r="P9" t="e">
        <f t="shared" si="6"/>
        <v>#REF!</v>
      </c>
      <c r="Q9" t="e">
        <f t="shared" si="7"/>
        <v>#REF!</v>
      </c>
      <c r="R9" t="e">
        <f t="shared" si="8"/>
        <v>#REF!</v>
      </c>
      <c r="S9" t="e">
        <f t="shared" si="9"/>
        <v>#REF!</v>
      </c>
      <c r="T9" t="e">
        <f t="shared" si="10"/>
        <v>#REF!</v>
      </c>
      <c r="U9" t="e">
        <f t="shared" si="11"/>
        <v>#REF!</v>
      </c>
      <c r="V9" t="e">
        <f t="shared" si="12"/>
        <v>#REF!</v>
      </c>
      <c r="W9" t="e">
        <f t="shared" si="13"/>
        <v>#REF!</v>
      </c>
      <c r="X9" t="e">
        <f t="shared" si="14"/>
        <v>#REF!</v>
      </c>
      <c r="Y9" t="e">
        <f t="shared" si="15"/>
        <v>#REF!</v>
      </c>
      <c r="Z9" t="e">
        <f t="shared" si="16"/>
        <v>#REF!</v>
      </c>
      <c r="AA9" t="e">
        <f t="shared" si="17"/>
        <v>#REF!</v>
      </c>
      <c r="AB9" t="e">
        <f t="shared" si="18"/>
        <v>#REF!</v>
      </c>
      <c r="AC9" t="e">
        <f t="shared" si="19"/>
        <v>#REF!</v>
      </c>
      <c r="AD9" t="e">
        <f t="shared" si="20"/>
        <v>#REF!</v>
      </c>
      <c r="AE9" t="e">
        <f t="shared" si="21"/>
        <v>#REF!</v>
      </c>
      <c r="AF9" t="e">
        <f t="shared" si="22"/>
        <v>#REF!</v>
      </c>
      <c r="AG9" t="e">
        <f t="shared" si="23"/>
        <v>#REF!</v>
      </c>
      <c r="AH9" t="e">
        <f t="shared" si="24"/>
        <v>#REF!</v>
      </c>
      <c r="AI9" t="e">
        <f t="shared" si="25"/>
        <v>#REF!</v>
      </c>
      <c r="AJ9" t="e">
        <f t="shared" si="26"/>
        <v>#REF!</v>
      </c>
      <c r="AK9" t="e">
        <f t="shared" si="27"/>
        <v>#REF!</v>
      </c>
      <c r="AL9" t="e">
        <f t="shared" si="28"/>
        <v>#REF!</v>
      </c>
      <c r="AM9" t="e">
        <f t="shared" si="29"/>
        <v>#REF!</v>
      </c>
      <c r="AN9" t="e">
        <f t="shared" si="30"/>
        <v>#REF!</v>
      </c>
      <c r="AO9" t="e">
        <f t="shared" si="31"/>
        <v>#REF!</v>
      </c>
      <c r="AP9" t="e">
        <f t="shared" si="32"/>
        <v>#REF!</v>
      </c>
    </row>
    <row r="10" spans="1:42" ht="15" customHeight="1" x14ac:dyDescent="0.35">
      <c r="A10">
        <v>9</v>
      </c>
      <c r="B10" t="e">
        <f>IF(#REF!="","",#REF!)</f>
        <v>#REF!</v>
      </c>
      <c r="C10" t="e">
        <f>IF(#REF!="","",#REF!)</f>
        <v>#REF!</v>
      </c>
      <c r="D10" t="e">
        <f>IF(#REF!="","",#REF!)</f>
        <v>#REF!</v>
      </c>
      <c r="E10" t="e">
        <f>IF(#REF!="","",#REF!)</f>
        <v>#REF!</v>
      </c>
      <c r="F10" t="e">
        <f>IF(#REF!="","",#REF!)</f>
        <v>#REF!</v>
      </c>
      <c r="G10" t="e">
        <f>IF(#REF!="","",#REF!)</f>
        <v>#REF!</v>
      </c>
      <c r="H10" t="e">
        <f>IF(#REF!="","",#REF!)</f>
        <v>#REF!</v>
      </c>
      <c r="I10" t="e">
        <f>IF(#REF!="","",#REF!)</f>
        <v>#REF!</v>
      </c>
      <c r="J10" t="e">
        <f t="shared" si="0"/>
        <v>#REF!</v>
      </c>
      <c r="K10" t="e">
        <f t="shared" si="1"/>
        <v>#REF!</v>
      </c>
      <c r="L10" t="e">
        <f t="shared" si="2"/>
        <v>#REF!</v>
      </c>
      <c r="M10" t="e">
        <f t="shared" si="3"/>
        <v>#REF!</v>
      </c>
      <c r="N10" t="e">
        <f t="shared" si="4"/>
        <v>#REF!</v>
      </c>
      <c r="O10" t="e">
        <f t="shared" si="5"/>
        <v>#REF!</v>
      </c>
      <c r="P10" t="e">
        <f t="shared" si="6"/>
        <v>#REF!</v>
      </c>
      <c r="Q10" t="e">
        <f t="shared" si="7"/>
        <v>#REF!</v>
      </c>
      <c r="R10" t="e">
        <f t="shared" si="8"/>
        <v>#REF!</v>
      </c>
      <c r="S10" t="e">
        <f t="shared" si="9"/>
        <v>#REF!</v>
      </c>
      <c r="T10" t="e">
        <f t="shared" si="10"/>
        <v>#REF!</v>
      </c>
      <c r="U10" t="e">
        <f t="shared" si="11"/>
        <v>#REF!</v>
      </c>
      <c r="V10" t="e">
        <f t="shared" si="12"/>
        <v>#REF!</v>
      </c>
      <c r="W10" t="e">
        <f t="shared" si="13"/>
        <v>#REF!</v>
      </c>
      <c r="X10" t="e">
        <f t="shared" si="14"/>
        <v>#REF!</v>
      </c>
      <c r="Y10" t="e">
        <f t="shared" si="15"/>
        <v>#REF!</v>
      </c>
      <c r="Z10" t="e">
        <f t="shared" si="16"/>
        <v>#REF!</v>
      </c>
      <c r="AA10" t="e">
        <f t="shared" si="17"/>
        <v>#REF!</v>
      </c>
      <c r="AB10" t="e">
        <f t="shared" si="18"/>
        <v>#REF!</v>
      </c>
      <c r="AC10" t="e">
        <f t="shared" si="19"/>
        <v>#REF!</v>
      </c>
      <c r="AD10" t="e">
        <f t="shared" si="20"/>
        <v>#REF!</v>
      </c>
      <c r="AE10" t="e">
        <f t="shared" si="21"/>
        <v>#REF!</v>
      </c>
      <c r="AF10" t="e">
        <f t="shared" si="22"/>
        <v>#REF!</v>
      </c>
      <c r="AG10" t="e">
        <f t="shared" si="23"/>
        <v>#REF!</v>
      </c>
      <c r="AH10" t="e">
        <f t="shared" si="24"/>
        <v>#REF!</v>
      </c>
      <c r="AI10" t="e">
        <f t="shared" si="25"/>
        <v>#REF!</v>
      </c>
      <c r="AJ10" t="e">
        <f t="shared" si="26"/>
        <v>#REF!</v>
      </c>
      <c r="AK10" t="e">
        <f t="shared" si="27"/>
        <v>#REF!</v>
      </c>
      <c r="AL10" t="e">
        <f t="shared" si="28"/>
        <v>#REF!</v>
      </c>
      <c r="AM10" t="e">
        <f t="shared" si="29"/>
        <v>#REF!</v>
      </c>
      <c r="AN10" t="e">
        <f t="shared" si="30"/>
        <v>#REF!</v>
      </c>
      <c r="AO10" t="e">
        <f t="shared" si="31"/>
        <v>#REF!</v>
      </c>
      <c r="AP10" t="e">
        <f t="shared" si="32"/>
        <v>#REF!</v>
      </c>
    </row>
    <row r="11" spans="1:42" ht="15" customHeight="1" x14ac:dyDescent="0.35">
      <c r="A11">
        <v>10</v>
      </c>
      <c r="B11" t="e">
        <f>IF(#REF!="","",#REF!)</f>
        <v>#REF!</v>
      </c>
      <c r="C11" t="e">
        <f>IF(#REF!="","",#REF!)</f>
        <v>#REF!</v>
      </c>
      <c r="D11" t="e">
        <f>IF(#REF!="","",#REF!)</f>
        <v>#REF!</v>
      </c>
      <c r="E11" t="e">
        <f>IF(#REF!="","",#REF!)</f>
        <v>#REF!</v>
      </c>
      <c r="F11" t="e">
        <f>IF(#REF!="","",#REF!)</f>
        <v>#REF!</v>
      </c>
      <c r="G11" t="e">
        <f>IF(#REF!="","",#REF!)</f>
        <v>#REF!</v>
      </c>
      <c r="H11" t="e">
        <f>IF(#REF!="","",#REF!)</f>
        <v>#REF!</v>
      </c>
      <c r="I11" t="e">
        <f>IF(#REF!="","",#REF!)</f>
        <v>#REF!</v>
      </c>
      <c r="J11" t="e">
        <f t="shared" si="0"/>
        <v>#REF!</v>
      </c>
      <c r="K11" t="e">
        <f t="shared" si="1"/>
        <v>#REF!</v>
      </c>
      <c r="L11" t="e">
        <f t="shared" si="2"/>
        <v>#REF!</v>
      </c>
      <c r="M11" t="e">
        <f t="shared" si="3"/>
        <v>#REF!</v>
      </c>
      <c r="N11" t="e">
        <f t="shared" si="4"/>
        <v>#REF!</v>
      </c>
      <c r="O11" t="e">
        <f t="shared" si="5"/>
        <v>#REF!</v>
      </c>
      <c r="P11" t="e">
        <f t="shared" si="6"/>
        <v>#REF!</v>
      </c>
      <c r="Q11" t="e">
        <f t="shared" si="7"/>
        <v>#REF!</v>
      </c>
      <c r="R11" t="e">
        <f t="shared" si="8"/>
        <v>#REF!</v>
      </c>
      <c r="S11" t="e">
        <f t="shared" si="9"/>
        <v>#REF!</v>
      </c>
      <c r="T11" t="e">
        <f t="shared" si="10"/>
        <v>#REF!</v>
      </c>
      <c r="U11" t="e">
        <f t="shared" si="11"/>
        <v>#REF!</v>
      </c>
      <c r="V11" t="e">
        <f t="shared" si="12"/>
        <v>#REF!</v>
      </c>
      <c r="W11" t="e">
        <f t="shared" si="13"/>
        <v>#REF!</v>
      </c>
      <c r="X11" t="e">
        <f t="shared" si="14"/>
        <v>#REF!</v>
      </c>
      <c r="Y11" t="e">
        <f t="shared" si="15"/>
        <v>#REF!</v>
      </c>
      <c r="Z11" t="e">
        <f t="shared" si="16"/>
        <v>#REF!</v>
      </c>
      <c r="AA11" t="e">
        <f t="shared" si="17"/>
        <v>#REF!</v>
      </c>
      <c r="AB11" t="e">
        <f t="shared" si="18"/>
        <v>#REF!</v>
      </c>
      <c r="AC11" t="e">
        <f t="shared" si="19"/>
        <v>#REF!</v>
      </c>
      <c r="AD11" t="e">
        <f t="shared" si="20"/>
        <v>#REF!</v>
      </c>
      <c r="AE11" t="e">
        <f t="shared" si="21"/>
        <v>#REF!</v>
      </c>
      <c r="AF11" t="e">
        <f t="shared" si="22"/>
        <v>#REF!</v>
      </c>
      <c r="AG11" t="e">
        <f t="shared" si="23"/>
        <v>#REF!</v>
      </c>
      <c r="AH11" t="e">
        <f t="shared" si="24"/>
        <v>#REF!</v>
      </c>
      <c r="AI11" t="e">
        <f t="shared" si="25"/>
        <v>#REF!</v>
      </c>
      <c r="AJ11" t="e">
        <f t="shared" si="26"/>
        <v>#REF!</v>
      </c>
      <c r="AK11" t="e">
        <f t="shared" si="27"/>
        <v>#REF!</v>
      </c>
      <c r="AL11" t="e">
        <f t="shared" si="28"/>
        <v>#REF!</v>
      </c>
      <c r="AM11" t="e">
        <f t="shared" si="29"/>
        <v>#REF!</v>
      </c>
      <c r="AN11" t="e">
        <f t="shared" si="30"/>
        <v>#REF!</v>
      </c>
      <c r="AO11" t="e">
        <f t="shared" si="31"/>
        <v>#REF!</v>
      </c>
      <c r="AP11" t="e">
        <f t="shared" si="32"/>
        <v>#REF!</v>
      </c>
    </row>
    <row r="12" spans="1:42" ht="15" customHeight="1" x14ac:dyDescent="0.35">
      <c r="A12">
        <v>11</v>
      </c>
      <c r="B12" t="e">
        <f>IF(#REF!="","",#REF!)</f>
        <v>#REF!</v>
      </c>
      <c r="C12" t="e">
        <f>IF(#REF!="","",#REF!)</f>
        <v>#REF!</v>
      </c>
      <c r="D12" t="e">
        <f>IF(#REF!="","",#REF!)</f>
        <v>#REF!</v>
      </c>
      <c r="E12" t="e">
        <f>IF(#REF!="","",#REF!)</f>
        <v>#REF!</v>
      </c>
      <c r="F12" t="e">
        <f>IF(#REF!="","",#REF!)</f>
        <v>#REF!</v>
      </c>
      <c r="G12" t="e">
        <f>IF(#REF!="","",#REF!)</f>
        <v>#REF!</v>
      </c>
      <c r="H12" t="e">
        <f>IF(#REF!="","",#REF!)</f>
        <v>#REF!</v>
      </c>
      <c r="I12" t="e">
        <f>IF(#REF!="","",#REF!)</f>
        <v>#REF!</v>
      </c>
      <c r="J12" t="e">
        <f t="shared" si="0"/>
        <v>#REF!</v>
      </c>
      <c r="K12" t="e">
        <f t="shared" si="1"/>
        <v>#REF!</v>
      </c>
      <c r="L12" t="e">
        <f t="shared" si="2"/>
        <v>#REF!</v>
      </c>
      <c r="M12" t="e">
        <f t="shared" si="3"/>
        <v>#REF!</v>
      </c>
      <c r="N12" t="e">
        <f t="shared" si="4"/>
        <v>#REF!</v>
      </c>
      <c r="O12" t="e">
        <f t="shared" si="5"/>
        <v>#REF!</v>
      </c>
      <c r="P12" t="e">
        <f t="shared" si="6"/>
        <v>#REF!</v>
      </c>
      <c r="Q12" t="e">
        <f t="shared" si="7"/>
        <v>#REF!</v>
      </c>
      <c r="R12" t="e">
        <f t="shared" si="8"/>
        <v>#REF!</v>
      </c>
      <c r="S12" t="e">
        <f t="shared" si="9"/>
        <v>#REF!</v>
      </c>
      <c r="T12" t="e">
        <f t="shared" si="10"/>
        <v>#REF!</v>
      </c>
      <c r="U12" t="e">
        <f t="shared" si="11"/>
        <v>#REF!</v>
      </c>
      <c r="V12" t="e">
        <f t="shared" si="12"/>
        <v>#REF!</v>
      </c>
      <c r="W12" t="e">
        <f t="shared" si="13"/>
        <v>#REF!</v>
      </c>
      <c r="X12" t="e">
        <f t="shared" si="14"/>
        <v>#REF!</v>
      </c>
      <c r="Y12" t="e">
        <f t="shared" si="15"/>
        <v>#REF!</v>
      </c>
      <c r="Z12" t="e">
        <f t="shared" si="16"/>
        <v>#REF!</v>
      </c>
      <c r="AA12" t="e">
        <f t="shared" si="17"/>
        <v>#REF!</v>
      </c>
      <c r="AB12" t="e">
        <f t="shared" si="18"/>
        <v>#REF!</v>
      </c>
      <c r="AC12" t="e">
        <f t="shared" si="19"/>
        <v>#REF!</v>
      </c>
      <c r="AD12" t="e">
        <f t="shared" si="20"/>
        <v>#REF!</v>
      </c>
      <c r="AE12" t="e">
        <f t="shared" si="21"/>
        <v>#REF!</v>
      </c>
      <c r="AF12" t="e">
        <f t="shared" si="22"/>
        <v>#REF!</v>
      </c>
      <c r="AG12" t="e">
        <f t="shared" si="23"/>
        <v>#REF!</v>
      </c>
      <c r="AH12" t="e">
        <f t="shared" si="24"/>
        <v>#REF!</v>
      </c>
      <c r="AI12" t="e">
        <f t="shared" si="25"/>
        <v>#REF!</v>
      </c>
      <c r="AJ12" t="e">
        <f t="shared" si="26"/>
        <v>#REF!</v>
      </c>
      <c r="AK12" t="e">
        <f t="shared" si="27"/>
        <v>#REF!</v>
      </c>
      <c r="AL12" t="e">
        <f t="shared" si="28"/>
        <v>#REF!</v>
      </c>
      <c r="AM12" t="e">
        <f t="shared" si="29"/>
        <v>#REF!</v>
      </c>
      <c r="AN12" t="e">
        <f t="shared" si="30"/>
        <v>#REF!</v>
      </c>
      <c r="AO12" t="e">
        <f t="shared" si="31"/>
        <v>#REF!</v>
      </c>
      <c r="AP12" t="e">
        <f t="shared" si="32"/>
        <v>#REF!</v>
      </c>
    </row>
    <row r="13" spans="1:42" ht="15" customHeight="1" x14ac:dyDescent="0.35">
      <c r="A13">
        <v>12</v>
      </c>
      <c r="B13" t="e">
        <f>IF(#REF!="","",#REF!)</f>
        <v>#REF!</v>
      </c>
      <c r="C13" t="e">
        <f>IF(#REF!="","",#REF!)</f>
        <v>#REF!</v>
      </c>
      <c r="D13" t="e">
        <f>IF(#REF!="","",#REF!)</f>
        <v>#REF!</v>
      </c>
      <c r="E13" t="e">
        <f>IF(#REF!="","",#REF!)</f>
        <v>#REF!</v>
      </c>
      <c r="F13" t="e">
        <f>IF(#REF!="","",#REF!)</f>
        <v>#REF!</v>
      </c>
      <c r="G13" t="e">
        <f>IF(#REF!="","",#REF!)</f>
        <v>#REF!</v>
      </c>
      <c r="H13" t="e">
        <f>IF(#REF!="","",#REF!)</f>
        <v>#REF!</v>
      </c>
      <c r="I13" t="e">
        <f>IF(#REF!="","",#REF!)</f>
        <v>#REF!</v>
      </c>
      <c r="J13" t="e">
        <f t="shared" si="0"/>
        <v>#REF!</v>
      </c>
      <c r="K13" t="e">
        <f t="shared" si="1"/>
        <v>#REF!</v>
      </c>
      <c r="L13" t="e">
        <f t="shared" si="2"/>
        <v>#REF!</v>
      </c>
      <c r="M13" t="e">
        <f t="shared" si="3"/>
        <v>#REF!</v>
      </c>
      <c r="N13" t="e">
        <f t="shared" si="4"/>
        <v>#REF!</v>
      </c>
      <c r="O13" t="e">
        <f t="shared" si="5"/>
        <v>#REF!</v>
      </c>
      <c r="P13" t="e">
        <f t="shared" si="6"/>
        <v>#REF!</v>
      </c>
      <c r="Q13" t="e">
        <f t="shared" si="7"/>
        <v>#REF!</v>
      </c>
      <c r="R13" t="e">
        <f t="shared" si="8"/>
        <v>#REF!</v>
      </c>
      <c r="S13" t="e">
        <f t="shared" si="9"/>
        <v>#REF!</v>
      </c>
      <c r="T13" t="e">
        <f t="shared" si="10"/>
        <v>#REF!</v>
      </c>
      <c r="U13" t="e">
        <f t="shared" si="11"/>
        <v>#REF!</v>
      </c>
      <c r="V13" t="e">
        <f t="shared" si="12"/>
        <v>#REF!</v>
      </c>
      <c r="W13" t="e">
        <f t="shared" si="13"/>
        <v>#REF!</v>
      </c>
      <c r="X13" t="e">
        <f t="shared" si="14"/>
        <v>#REF!</v>
      </c>
      <c r="Y13" t="e">
        <f t="shared" si="15"/>
        <v>#REF!</v>
      </c>
      <c r="Z13" t="e">
        <f t="shared" si="16"/>
        <v>#REF!</v>
      </c>
      <c r="AA13" t="e">
        <f t="shared" si="17"/>
        <v>#REF!</v>
      </c>
      <c r="AB13" t="e">
        <f t="shared" si="18"/>
        <v>#REF!</v>
      </c>
      <c r="AC13" t="e">
        <f t="shared" si="19"/>
        <v>#REF!</v>
      </c>
      <c r="AD13" t="e">
        <f t="shared" si="20"/>
        <v>#REF!</v>
      </c>
      <c r="AE13" t="e">
        <f t="shared" si="21"/>
        <v>#REF!</v>
      </c>
      <c r="AF13" t="e">
        <f t="shared" si="22"/>
        <v>#REF!</v>
      </c>
      <c r="AG13" t="e">
        <f t="shared" si="23"/>
        <v>#REF!</v>
      </c>
      <c r="AH13" t="e">
        <f t="shared" si="24"/>
        <v>#REF!</v>
      </c>
      <c r="AI13" t="e">
        <f t="shared" si="25"/>
        <v>#REF!</v>
      </c>
      <c r="AJ13" t="e">
        <f t="shared" si="26"/>
        <v>#REF!</v>
      </c>
      <c r="AK13" t="e">
        <f t="shared" si="27"/>
        <v>#REF!</v>
      </c>
      <c r="AL13" t="e">
        <f t="shared" si="28"/>
        <v>#REF!</v>
      </c>
      <c r="AM13" t="e">
        <f t="shared" si="29"/>
        <v>#REF!</v>
      </c>
      <c r="AN13" t="e">
        <f t="shared" si="30"/>
        <v>#REF!</v>
      </c>
      <c r="AO13" t="e">
        <f t="shared" si="31"/>
        <v>#REF!</v>
      </c>
      <c r="AP13" t="e">
        <f t="shared" si="32"/>
        <v>#REF!</v>
      </c>
    </row>
    <row r="14" spans="1:42" ht="15" customHeight="1" x14ac:dyDescent="0.35">
      <c r="A14">
        <v>13</v>
      </c>
      <c r="B14" t="e">
        <f>IF(#REF!="","",#REF!)</f>
        <v>#REF!</v>
      </c>
      <c r="C14" t="e">
        <f>IF(#REF!="","",#REF!)</f>
        <v>#REF!</v>
      </c>
      <c r="D14" t="e">
        <f>IF(#REF!="","",#REF!)</f>
        <v>#REF!</v>
      </c>
      <c r="E14" t="e">
        <f>IF(#REF!="","",#REF!)</f>
        <v>#REF!</v>
      </c>
      <c r="F14" t="e">
        <f>IF(#REF!="","",#REF!)</f>
        <v>#REF!</v>
      </c>
      <c r="G14" t="e">
        <f>IF(#REF!="","",#REF!)</f>
        <v>#REF!</v>
      </c>
      <c r="H14" t="e">
        <f>IF(#REF!="","",#REF!)</f>
        <v>#REF!</v>
      </c>
      <c r="I14" t="e">
        <f>IF(#REF!="","",#REF!)</f>
        <v>#REF!</v>
      </c>
      <c r="J14" t="e">
        <f t="shared" si="0"/>
        <v>#REF!</v>
      </c>
      <c r="K14" t="e">
        <f t="shared" si="1"/>
        <v>#REF!</v>
      </c>
      <c r="L14" t="e">
        <f t="shared" si="2"/>
        <v>#REF!</v>
      </c>
      <c r="M14" t="e">
        <f t="shared" si="3"/>
        <v>#REF!</v>
      </c>
      <c r="N14" t="e">
        <f t="shared" si="4"/>
        <v>#REF!</v>
      </c>
      <c r="O14" t="e">
        <f t="shared" si="5"/>
        <v>#REF!</v>
      </c>
      <c r="P14" t="e">
        <f t="shared" si="6"/>
        <v>#REF!</v>
      </c>
      <c r="Q14" t="e">
        <f t="shared" si="7"/>
        <v>#REF!</v>
      </c>
      <c r="R14" t="e">
        <f t="shared" si="8"/>
        <v>#REF!</v>
      </c>
      <c r="S14" t="e">
        <f t="shared" si="9"/>
        <v>#REF!</v>
      </c>
      <c r="T14" t="e">
        <f t="shared" si="10"/>
        <v>#REF!</v>
      </c>
      <c r="U14" t="e">
        <f t="shared" si="11"/>
        <v>#REF!</v>
      </c>
      <c r="V14" t="e">
        <f t="shared" si="12"/>
        <v>#REF!</v>
      </c>
      <c r="W14" t="e">
        <f t="shared" si="13"/>
        <v>#REF!</v>
      </c>
      <c r="X14" t="e">
        <f t="shared" si="14"/>
        <v>#REF!</v>
      </c>
      <c r="Y14" t="e">
        <f t="shared" si="15"/>
        <v>#REF!</v>
      </c>
      <c r="Z14" t="e">
        <f t="shared" si="16"/>
        <v>#REF!</v>
      </c>
      <c r="AA14" t="e">
        <f t="shared" si="17"/>
        <v>#REF!</v>
      </c>
      <c r="AB14" t="e">
        <f t="shared" si="18"/>
        <v>#REF!</v>
      </c>
      <c r="AC14" t="e">
        <f t="shared" si="19"/>
        <v>#REF!</v>
      </c>
      <c r="AD14" t="e">
        <f t="shared" si="20"/>
        <v>#REF!</v>
      </c>
      <c r="AE14" t="e">
        <f t="shared" si="21"/>
        <v>#REF!</v>
      </c>
      <c r="AF14" t="e">
        <f t="shared" si="22"/>
        <v>#REF!</v>
      </c>
      <c r="AG14" t="e">
        <f t="shared" si="23"/>
        <v>#REF!</v>
      </c>
      <c r="AH14" t="e">
        <f t="shared" si="24"/>
        <v>#REF!</v>
      </c>
      <c r="AI14" t="e">
        <f t="shared" si="25"/>
        <v>#REF!</v>
      </c>
      <c r="AJ14" t="e">
        <f t="shared" si="26"/>
        <v>#REF!</v>
      </c>
      <c r="AK14" t="e">
        <f t="shared" si="27"/>
        <v>#REF!</v>
      </c>
      <c r="AL14" t="e">
        <f t="shared" si="28"/>
        <v>#REF!</v>
      </c>
      <c r="AM14" t="e">
        <f t="shared" si="29"/>
        <v>#REF!</v>
      </c>
      <c r="AN14" t="e">
        <f t="shared" si="30"/>
        <v>#REF!</v>
      </c>
      <c r="AO14" t="e">
        <f t="shared" si="31"/>
        <v>#REF!</v>
      </c>
      <c r="AP14" t="e">
        <f t="shared" si="32"/>
        <v>#REF!</v>
      </c>
    </row>
    <row r="15" spans="1:42" ht="15" customHeight="1" x14ac:dyDescent="0.35">
      <c r="A15">
        <v>14</v>
      </c>
      <c r="B15" t="e">
        <f>IF(#REF!="","",#REF!)</f>
        <v>#REF!</v>
      </c>
      <c r="C15" t="e">
        <f>IF(#REF!="","",#REF!)</f>
        <v>#REF!</v>
      </c>
      <c r="D15" t="e">
        <f>IF(#REF!="","",#REF!)</f>
        <v>#REF!</v>
      </c>
      <c r="E15" t="e">
        <f>IF(#REF!="","",#REF!)</f>
        <v>#REF!</v>
      </c>
      <c r="F15" t="e">
        <f>IF(#REF!="","",#REF!)</f>
        <v>#REF!</v>
      </c>
      <c r="G15" t="e">
        <f>IF(#REF!="","",#REF!)</f>
        <v>#REF!</v>
      </c>
      <c r="H15" t="e">
        <f>IF(#REF!="","",#REF!)</f>
        <v>#REF!</v>
      </c>
      <c r="I15" t="e">
        <f>IF(#REF!="","",#REF!)</f>
        <v>#REF!</v>
      </c>
      <c r="J15" t="e">
        <f t="shared" si="0"/>
        <v>#REF!</v>
      </c>
      <c r="K15" t="e">
        <f t="shared" si="1"/>
        <v>#REF!</v>
      </c>
      <c r="L15" t="e">
        <f t="shared" si="2"/>
        <v>#REF!</v>
      </c>
      <c r="M15" t="e">
        <f t="shared" si="3"/>
        <v>#REF!</v>
      </c>
      <c r="N15" t="e">
        <f t="shared" si="4"/>
        <v>#REF!</v>
      </c>
      <c r="O15" t="e">
        <f t="shared" si="5"/>
        <v>#REF!</v>
      </c>
      <c r="P15" t="e">
        <f t="shared" si="6"/>
        <v>#REF!</v>
      </c>
      <c r="Q15" t="e">
        <f t="shared" si="7"/>
        <v>#REF!</v>
      </c>
      <c r="R15" t="e">
        <f t="shared" si="8"/>
        <v>#REF!</v>
      </c>
      <c r="S15" t="e">
        <f t="shared" si="9"/>
        <v>#REF!</v>
      </c>
      <c r="T15" t="e">
        <f t="shared" si="10"/>
        <v>#REF!</v>
      </c>
      <c r="U15" t="e">
        <f t="shared" si="11"/>
        <v>#REF!</v>
      </c>
      <c r="V15" t="e">
        <f t="shared" si="12"/>
        <v>#REF!</v>
      </c>
      <c r="W15" t="e">
        <f t="shared" si="13"/>
        <v>#REF!</v>
      </c>
      <c r="X15" t="e">
        <f t="shared" si="14"/>
        <v>#REF!</v>
      </c>
      <c r="Y15" t="e">
        <f t="shared" si="15"/>
        <v>#REF!</v>
      </c>
      <c r="Z15" t="e">
        <f t="shared" si="16"/>
        <v>#REF!</v>
      </c>
      <c r="AA15" t="e">
        <f t="shared" si="17"/>
        <v>#REF!</v>
      </c>
      <c r="AB15" t="e">
        <f t="shared" si="18"/>
        <v>#REF!</v>
      </c>
      <c r="AC15" t="e">
        <f t="shared" si="19"/>
        <v>#REF!</v>
      </c>
      <c r="AD15" t="e">
        <f t="shared" si="20"/>
        <v>#REF!</v>
      </c>
      <c r="AE15" t="e">
        <f t="shared" si="21"/>
        <v>#REF!</v>
      </c>
      <c r="AF15" t="e">
        <f t="shared" si="22"/>
        <v>#REF!</v>
      </c>
      <c r="AG15" t="e">
        <f t="shared" si="23"/>
        <v>#REF!</v>
      </c>
      <c r="AH15" t="e">
        <f t="shared" si="24"/>
        <v>#REF!</v>
      </c>
      <c r="AI15" t="e">
        <f t="shared" si="25"/>
        <v>#REF!</v>
      </c>
      <c r="AJ15" t="e">
        <f t="shared" si="26"/>
        <v>#REF!</v>
      </c>
      <c r="AK15" t="e">
        <f t="shared" si="27"/>
        <v>#REF!</v>
      </c>
      <c r="AL15" t="e">
        <f t="shared" si="28"/>
        <v>#REF!</v>
      </c>
      <c r="AM15" t="e">
        <f t="shared" si="29"/>
        <v>#REF!</v>
      </c>
      <c r="AN15" t="e">
        <f t="shared" si="30"/>
        <v>#REF!</v>
      </c>
      <c r="AO15" t="e">
        <f t="shared" si="31"/>
        <v>#REF!</v>
      </c>
      <c r="AP15" t="e">
        <f t="shared" si="32"/>
        <v>#REF!</v>
      </c>
    </row>
    <row r="16" spans="1:42" ht="15" customHeight="1" x14ac:dyDescent="0.35">
      <c r="A16">
        <v>15</v>
      </c>
      <c r="B16" t="e">
        <f>IF(#REF!="","",#REF!)</f>
        <v>#REF!</v>
      </c>
      <c r="C16" t="e">
        <f>IF(#REF!="","",#REF!)</f>
        <v>#REF!</v>
      </c>
      <c r="D16" t="e">
        <f>IF(#REF!="","",#REF!)</f>
        <v>#REF!</v>
      </c>
      <c r="E16" t="e">
        <f>IF(#REF!="","",#REF!)</f>
        <v>#REF!</v>
      </c>
      <c r="F16" t="e">
        <f>IF(#REF!="","",#REF!)</f>
        <v>#REF!</v>
      </c>
      <c r="G16" t="e">
        <f>IF(#REF!="","",#REF!)</f>
        <v>#REF!</v>
      </c>
      <c r="H16" t="e">
        <f>IF(#REF!="","",#REF!)</f>
        <v>#REF!</v>
      </c>
      <c r="I16" t="e">
        <f>IF(#REF!="","",#REF!)</f>
        <v>#REF!</v>
      </c>
      <c r="J16" t="e">
        <f t="shared" si="0"/>
        <v>#REF!</v>
      </c>
      <c r="K16" t="e">
        <f t="shared" si="1"/>
        <v>#REF!</v>
      </c>
      <c r="L16" t="e">
        <f t="shared" si="2"/>
        <v>#REF!</v>
      </c>
      <c r="M16" t="e">
        <f t="shared" si="3"/>
        <v>#REF!</v>
      </c>
      <c r="N16" t="e">
        <f t="shared" si="4"/>
        <v>#REF!</v>
      </c>
      <c r="O16" t="e">
        <f t="shared" si="5"/>
        <v>#REF!</v>
      </c>
      <c r="P16" t="e">
        <f t="shared" si="6"/>
        <v>#REF!</v>
      </c>
      <c r="Q16" t="e">
        <f t="shared" si="7"/>
        <v>#REF!</v>
      </c>
      <c r="R16" t="e">
        <f t="shared" si="8"/>
        <v>#REF!</v>
      </c>
      <c r="S16" t="e">
        <f t="shared" si="9"/>
        <v>#REF!</v>
      </c>
      <c r="T16" t="e">
        <f t="shared" si="10"/>
        <v>#REF!</v>
      </c>
      <c r="U16" t="e">
        <f t="shared" si="11"/>
        <v>#REF!</v>
      </c>
      <c r="V16" t="e">
        <f t="shared" si="12"/>
        <v>#REF!</v>
      </c>
      <c r="W16" t="e">
        <f t="shared" si="13"/>
        <v>#REF!</v>
      </c>
      <c r="X16" t="e">
        <f t="shared" si="14"/>
        <v>#REF!</v>
      </c>
      <c r="Y16" t="e">
        <f t="shared" si="15"/>
        <v>#REF!</v>
      </c>
      <c r="Z16" t="e">
        <f t="shared" si="16"/>
        <v>#REF!</v>
      </c>
      <c r="AA16" t="e">
        <f t="shared" si="17"/>
        <v>#REF!</v>
      </c>
      <c r="AB16" t="e">
        <f t="shared" si="18"/>
        <v>#REF!</v>
      </c>
      <c r="AC16" t="e">
        <f t="shared" si="19"/>
        <v>#REF!</v>
      </c>
      <c r="AD16" t="e">
        <f t="shared" si="20"/>
        <v>#REF!</v>
      </c>
      <c r="AE16" t="e">
        <f t="shared" si="21"/>
        <v>#REF!</v>
      </c>
      <c r="AF16" t="e">
        <f t="shared" si="22"/>
        <v>#REF!</v>
      </c>
      <c r="AG16" t="e">
        <f t="shared" si="23"/>
        <v>#REF!</v>
      </c>
      <c r="AH16" t="e">
        <f t="shared" si="24"/>
        <v>#REF!</v>
      </c>
      <c r="AI16" t="e">
        <f t="shared" si="25"/>
        <v>#REF!</v>
      </c>
      <c r="AJ16" t="e">
        <f t="shared" si="26"/>
        <v>#REF!</v>
      </c>
      <c r="AK16" t="e">
        <f t="shared" si="27"/>
        <v>#REF!</v>
      </c>
      <c r="AL16" t="e">
        <f t="shared" si="28"/>
        <v>#REF!</v>
      </c>
      <c r="AM16" t="e">
        <f t="shared" si="29"/>
        <v>#REF!</v>
      </c>
      <c r="AN16" t="e">
        <f t="shared" si="30"/>
        <v>#REF!</v>
      </c>
      <c r="AO16" t="e">
        <f t="shared" si="31"/>
        <v>#REF!</v>
      </c>
      <c r="AP16" t="e">
        <f t="shared" si="32"/>
        <v>#REF!</v>
      </c>
    </row>
    <row r="17" spans="1:42" ht="15" customHeight="1" x14ac:dyDescent="0.35">
      <c r="A17">
        <v>16</v>
      </c>
      <c r="B17" t="e">
        <f>IF(#REF!="","",#REF!)</f>
        <v>#REF!</v>
      </c>
      <c r="C17" t="e">
        <f>IF(#REF!="","",#REF!)</f>
        <v>#REF!</v>
      </c>
      <c r="D17" t="e">
        <f>IF(#REF!="","",#REF!)</f>
        <v>#REF!</v>
      </c>
      <c r="E17" t="e">
        <f>IF(#REF!="","",#REF!)</f>
        <v>#REF!</v>
      </c>
      <c r="F17" t="e">
        <f>IF(#REF!="","",#REF!)</f>
        <v>#REF!</v>
      </c>
      <c r="G17" t="e">
        <f>IF(#REF!="","",#REF!)</f>
        <v>#REF!</v>
      </c>
      <c r="H17" t="e">
        <f>IF(#REF!="","",#REF!)</f>
        <v>#REF!</v>
      </c>
      <c r="I17" t="e">
        <f>IF(#REF!="","",#REF!)</f>
        <v>#REF!</v>
      </c>
      <c r="J17" t="e">
        <f t="shared" si="0"/>
        <v>#REF!</v>
      </c>
      <c r="K17" t="e">
        <f t="shared" si="1"/>
        <v>#REF!</v>
      </c>
      <c r="L17" t="e">
        <f t="shared" si="2"/>
        <v>#REF!</v>
      </c>
      <c r="M17" t="e">
        <f t="shared" si="3"/>
        <v>#REF!</v>
      </c>
      <c r="N17" t="e">
        <f t="shared" si="4"/>
        <v>#REF!</v>
      </c>
      <c r="O17" t="e">
        <f t="shared" si="5"/>
        <v>#REF!</v>
      </c>
      <c r="P17" t="e">
        <f t="shared" si="6"/>
        <v>#REF!</v>
      </c>
      <c r="Q17" t="e">
        <f t="shared" si="7"/>
        <v>#REF!</v>
      </c>
      <c r="R17" t="e">
        <f t="shared" si="8"/>
        <v>#REF!</v>
      </c>
      <c r="S17" t="e">
        <f t="shared" si="9"/>
        <v>#REF!</v>
      </c>
      <c r="T17" t="e">
        <f t="shared" si="10"/>
        <v>#REF!</v>
      </c>
      <c r="U17" t="e">
        <f t="shared" si="11"/>
        <v>#REF!</v>
      </c>
      <c r="V17" t="e">
        <f t="shared" si="12"/>
        <v>#REF!</v>
      </c>
      <c r="W17" t="e">
        <f t="shared" si="13"/>
        <v>#REF!</v>
      </c>
      <c r="X17" t="e">
        <f t="shared" si="14"/>
        <v>#REF!</v>
      </c>
      <c r="Y17" t="e">
        <f t="shared" si="15"/>
        <v>#REF!</v>
      </c>
      <c r="Z17" t="e">
        <f t="shared" si="16"/>
        <v>#REF!</v>
      </c>
      <c r="AA17" t="e">
        <f t="shared" si="17"/>
        <v>#REF!</v>
      </c>
      <c r="AB17" t="e">
        <f t="shared" si="18"/>
        <v>#REF!</v>
      </c>
      <c r="AC17" t="e">
        <f t="shared" si="19"/>
        <v>#REF!</v>
      </c>
      <c r="AD17" t="e">
        <f t="shared" si="20"/>
        <v>#REF!</v>
      </c>
      <c r="AE17" t="e">
        <f t="shared" si="21"/>
        <v>#REF!</v>
      </c>
      <c r="AF17" t="e">
        <f t="shared" si="22"/>
        <v>#REF!</v>
      </c>
      <c r="AG17" t="e">
        <f t="shared" si="23"/>
        <v>#REF!</v>
      </c>
      <c r="AH17" t="e">
        <f t="shared" si="24"/>
        <v>#REF!</v>
      </c>
      <c r="AI17" t="e">
        <f t="shared" si="25"/>
        <v>#REF!</v>
      </c>
      <c r="AJ17" t="e">
        <f t="shared" si="26"/>
        <v>#REF!</v>
      </c>
      <c r="AK17" t="e">
        <f t="shared" si="27"/>
        <v>#REF!</v>
      </c>
      <c r="AL17" t="e">
        <f t="shared" si="28"/>
        <v>#REF!</v>
      </c>
      <c r="AM17" t="e">
        <f t="shared" si="29"/>
        <v>#REF!</v>
      </c>
      <c r="AN17" t="e">
        <f t="shared" si="30"/>
        <v>#REF!</v>
      </c>
      <c r="AO17" t="e">
        <f t="shared" si="31"/>
        <v>#REF!</v>
      </c>
      <c r="AP17" t="e">
        <f t="shared" si="32"/>
        <v>#REF!</v>
      </c>
    </row>
    <row r="18" spans="1:42" ht="15" customHeight="1" x14ac:dyDescent="0.35">
      <c r="A18">
        <v>17</v>
      </c>
      <c r="B18" t="e">
        <f>IF(#REF!="","",#REF!)</f>
        <v>#REF!</v>
      </c>
      <c r="C18" t="e">
        <f>IF(#REF!="","",#REF!)</f>
        <v>#REF!</v>
      </c>
      <c r="D18" t="e">
        <f>IF(#REF!="","",#REF!)</f>
        <v>#REF!</v>
      </c>
      <c r="E18" t="e">
        <f>IF(#REF!="","",#REF!)</f>
        <v>#REF!</v>
      </c>
      <c r="F18" t="e">
        <f>IF(#REF!="","",#REF!)</f>
        <v>#REF!</v>
      </c>
      <c r="G18" t="e">
        <f>IF(#REF!="","",#REF!)</f>
        <v>#REF!</v>
      </c>
      <c r="H18" t="e">
        <f>IF(#REF!="","",#REF!)</f>
        <v>#REF!</v>
      </c>
      <c r="I18" t="e">
        <f>IF(#REF!="","",#REF!)</f>
        <v>#REF!</v>
      </c>
      <c r="J18" t="e">
        <f t="shared" si="0"/>
        <v>#REF!</v>
      </c>
      <c r="K18" t="e">
        <f t="shared" si="1"/>
        <v>#REF!</v>
      </c>
      <c r="L18" t="e">
        <f t="shared" si="2"/>
        <v>#REF!</v>
      </c>
      <c r="M18" t="e">
        <f t="shared" si="3"/>
        <v>#REF!</v>
      </c>
      <c r="N18" t="e">
        <f t="shared" si="4"/>
        <v>#REF!</v>
      </c>
      <c r="O18" t="e">
        <f t="shared" si="5"/>
        <v>#REF!</v>
      </c>
      <c r="P18" t="e">
        <f t="shared" si="6"/>
        <v>#REF!</v>
      </c>
      <c r="Q18" t="e">
        <f t="shared" si="7"/>
        <v>#REF!</v>
      </c>
      <c r="R18" t="e">
        <f t="shared" si="8"/>
        <v>#REF!</v>
      </c>
      <c r="S18" t="e">
        <f t="shared" si="9"/>
        <v>#REF!</v>
      </c>
      <c r="T18" t="e">
        <f t="shared" si="10"/>
        <v>#REF!</v>
      </c>
      <c r="U18" t="e">
        <f t="shared" si="11"/>
        <v>#REF!</v>
      </c>
      <c r="V18" t="e">
        <f t="shared" si="12"/>
        <v>#REF!</v>
      </c>
      <c r="W18" t="e">
        <f t="shared" si="13"/>
        <v>#REF!</v>
      </c>
      <c r="X18" t="e">
        <f t="shared" si="14"/>
        <v>#REF!</v>
      </c>
      <c r="Y18" t="e">
        <f t="shared" si="15"/>
        <v>#REF!</v>
      </c>
      <c r="Z18" t="e">
        <f t="shared" si="16"/>
        <v>#REF!</v>
      </c>
      <c r="AA18" t="e">
        <f t="shared" si="17"/>
        <v>#REF!</v>
      </c>
      <c r="AB18" t="e">
        <f t="shared" si="18"/>
        <v>#REF!</v>
      </c>
      <c r="AC18" t="e">
        <f t="shared" si="19"/>
        <v>#REF!</v>
      </c>
      <c r="AD18" t="e">
        <f t="shared" si="20"/>
        <v>#REF!</v>
      </c>
      <c r="AE18" t="e">
        <f t="shared" si="21"/>
        <v>#REF!</v>
      </c>
      <c r="AF18" t="e">
        <f t="shared" si="22"/>
        <v>#REF!</v>
      </c>
      <c r="AG18" t="e">
        <f t="shared" si="23"/>
        <v>#REF!</v>
      </c>
      <c r="AH18" t="e">
        <f t="shared" si="24"/>
        <v>#REF!</v>
      </c>
      <c r="AI18" t="e">
        <f t="shared" si="25"/>
        <v>#REF!</v>
      </c>
      <c r="AJ18" t="e">
        <f t="shared" si="26"/>
        <v>#REF!</v>
      </c>
      <c r="AK18" t="e">
        <f t="shared" si="27"/>
        <v>#REF!</v>
      </c>
      <c r="AL18" t="e">
        <f t="shared" si="28"/>
        <v>#REF!</v>
      </c>
      <c r="AM18" t="e">
        <f t="shared" si="29"/>
        <v>#REF!</v>
      </c>
      <c r="AN18" t="e">
        <f t="shared" si="30"/>
        <v>#REF!</v>
      </c>
      <c r="AO18" t="e">
        <f t="shared" si="31"/>
        <v>#REF!</v>
      </c>
      <c r="AP18" t="e">
        <f t="shared" si="32"/>
        <v>#REF!</v>
      </c>
    </row>
    <row r="19" spans="1:42" ht="15" customHeight="1" x14ac:dyDescent="0.35">
      <c r="A19">
        <v>18</v>
      </c>
      <c r="B19" t="e">
        <f>IF(#REF!="","",#REF!)</f>
        <v>#REF!</v>
      </c>
      <c r="C19" t="e">
        <f>IF(#REF!="","",#REF!)</f>
        <v>#REF!</v>
      </c>
      <c r="D19" t="e">
        <f>IF(#REF!="","",#REF!)</f>
        <v>#REF!</v>
      </c>
      <c r="E19" t="e">
        <f>IF(#REF!="","",#REF!)</f>
        <v>#REF!</v>
      </c>
      <c r="F19" t="e">
        <f>IF(#REF!="","",#REF!)</f>
        <v>#REF!</v>
      </c>
      <c r="G19" t="e">
        <f>IF(#REF!="","",#REF!)</f>
        <v>#REF!</v>
      </c>
      <c r="H19" t="e">
        <f>IF(#REF!="","",#REF!)</f>
        <v>#REF!</v>
      </c>
      <c r="I19" t="e">
        <f>IF(#REF!="","",#REF!)</f>
        <v>#REF!</v>
      </c>
      <c r="J19" t="e">
        <f t="shared" si="0"/>
        <v>#REF!</v>
      </c>
      <c r="K19" t="e">
        <f t="shared" si="1"/>
        <v>#REF!</v>
      </c>
      <c r="L19" t="e">
        <f t="shared" si="2"/>
        <v>#REF!</v>
      </c>
      <c r="M19" t="e">
        <f t="shared" si="3"/>
        <v>#REF!</v>
      </c>
      <c r="N19" t="e">
        <f t="shared" si="4"/>
        <v>#REF!</v>
      </c>
      <c r="O19" t="e">
        <f t="shared" si="5"/>
        <v>#REF!</v>
      </c>
      <c r="P19" t="e">
        <f t="shared" si="6"/>
        <v>#REF!</v>
      </c>
      <c r="Q19" t="e">
        <f t="shared" si="7"/>
        <v>#REF!</v>
      </c>
      <c r="R19" t="e">
        <f t="shared" si="8"/>
        <v>#REF!</v>
      </c>
      <c r="S19" t="e">
        <f t="shared" si="9"/>
        <v>#REF!</v>
      </c>
      <c r="T19" t="e">
        <f t="shared" si="10"/>
        <v>#REF!</v>
      </c>
      <c r="U19" t="e">
        <f t="shared" si="11"/>
        <v>#REF!</v>
      </c>
      <c r="V19" t="e">
        <f t="shared" si="12"/>
        <v>#REF!</v>
      </c>
      <c r="W19" t="e">
        <f t="shared" si="13"/>
        <v>#REF!</v>
      </c>
      <c r="X19" t="e">
        <f t="shared" si="14"/>
        <v>#REF!</v>
      </c>
      <c r="Y19" t="e">
        <f t="shared" si="15"/>
        <v>#REF!</v>
      </c>
      <c r="Z19" t="e">
        <f t="shared" si="16"/>
        <v>#REF!</v>
      </c>
      <c r="AA19" t="e">
        <f t="shared" si="17"/>
        <v>#REF!</v>
      </c>
      <c r="AB19" t="e">
        <f t="shared" si="18"/>
        <v>#REF!</v>
      </c>
      <c r="AC19" t="e">
        <f t="shared" si="19"/>
        <v>#REF!</v>
      </c>
      <c r="AD19" t="e">
        <f t="shared" si="20"/>
        <v>#REF!</v>
      </c>
      <c r="AE19" t="e">
        <f t="shared" si="21"/>
        <v>#REF!</v>
      </c>
      <c r="AF19" t="e">
        <f t="shared" si="22"/>
        <v>#REF!</v>
      </c>
      <c r="AG19" t="e">
        <f t="shared" si="23"/>
        <v>#REF!</v>
      </c>
      <c r="AH19" t="e">
        <f t="shared" si="24"/>
        <v>#REF!</v>
      </c>
      <c r="AI19" t="e">
        <f t="shared" si="25"/>
        <v>#REF!</v>
      </c>
      <c r="AJ19" t="e">
        <f t="shared" si="26"/>
        <v>#REF!</v>
      </c>
      <c r="AK19" t="e">
        <f t="shared" si="27"/>
        <v>#REF!</v>
      </c>
      <c r="AL19" t="e">
        <f t="shared" si="28"/>
        <v>#REF!</v>
      </c>
      <c r="AM19" t="e">
        <f t="shared" si="29"/>
        <v>#REF!</v>
      </c>
      <c r="AN19" t="e">
        <f t="shared" si="30"/>
        <v>#REF!</v>
      </c>
      <c r="AO19" t="e">
        <f t="shared" si="31"/>
        <v>#REF!</v>
      </c>
      <c r="AP19" t="e">
        <f t="shared" si="32"/>
        <v>#REF!</v>
      </c>
    </row>
    <row r="20" spans="1:42" ht="15" customHeight="1" x14ac:dyDescent="0.35">
      <c r="A20">
        <v>19</v>
      </c>
      <c r="B20" t="e">
        <f>IF(#REF!="","",#REF!)</f>
        <v>#REF!</v>
      </c>
      <c r="C20" t="e">
        <f>IF(#REF!="","",#REF!)</f>
        <v>#REF!</v>
      </c>
      <c r="D20" t="e">
        <f>IF(#REF!="","",#REF!)</f>
        <v>#REF!</v>
      </c>
      <c r="E20" t="e">
        <f>IF(#REF!="","",#REF!)</f>
        <v>#REF!</v>
      </c>
      <c r="F20" t="e">
        <f>IF(#REF!="","",#REF!)</f>
        <v>#REF!</v>
      </c>
      <c r="G20" t="e">
        <f>IF(#REF!="","",#REF!)</f>
        <v>#REF!</v>
      </c>
      <c r="H20" t="e">
        <f>IF(#REF!="","",#REF!)</f>
        <v>#REF!</v>
      </c>
      <c r="I20" t="e">
        <f>IF(#REF!="","",#REF!)</f>
        <v>#REF!</v>
      </c>
      <c r="J20" t="e">
        <f t="shared" si="0"/>
        <v>#REF!</v>
      </c>
      <c r="K20" t="e">
        <f t="shared" si="1"/>
        <v>#REF!</v>
      </c>
      <c r="L20" t="e">
        <f t="shared" si="2"/>
        <v>#REF!</v>
      </c>
      <c r="M20" t="e">
        <f t="shared" si="3"/>
        <v>#REF!</v>
      </c>
      <c r="N20" t="e">
        <f t="shared" si="4"/>
        <v>#REF!</v>
      </c>
      <c r="O20" t="e">
        <f t="shared" si="5"/>
        <v>#REF!</v>
      </c>
      <c r="P20" t="e">
        <f t="shared" si="6"/>
        <v>#REF!</v>
      </c>
      <c r="Q20" t="e">
        <f t="shared" si="7"/>
        <v>#REF!</v>
      </c>
      <c r="R20" t="e">
        <f t="shared" si="8"/>
        <v>#REF!</v>
      </c>
      <c r="S20" t="e">
        <f t="shared" si="9"/>
        <v>#REF!</v>
      </c>
      <c r="T20" t="e">
        <f t="shared" si="10"/>
        <v>#REF!</v>
      </c>
      <c r="U20" t="e">
        <f t="shared" si="11"/>
        <v>#REF!</v>
      </c>
      <c r="V20" t="e">
        <f t="shared" si="12"/>
        <v>#REF!</v>
      </c>
      <c r="W20" t="e">
        <f t="shared" si="13"/>
        <v>#REF!</v>
      </c>
      <c r="X20" t="e">
        <f t="shared" si="14"/>
        <v>#REF!</v>
      </c>
      <c r="Y20" t="e">
        <f t="shared" si="15"/>
        <v>#REF!</v>
      </c>
      <c r="Z20" t="e">
        <f t="shared" si="16"/>
        <v>#REF!</v>
      </c>
      <c r="AA20" t="e">
        <f t="shared" si="17"/>
        <v>#REF!</v>
      </c>
      <c r="AB20" t="e">
        <f t="shared" si="18"/>
        <v>#REF!</v>
      </c>
      <c r="AC20" t="e">
        <f t="shared" si="19"/>
        <v>#REF!</v>
      </c>
      <c r="AD20" t="e">
        <f t="shared" si="20"/>
        <v>#REF!</v>
      </c>
      <c r="AE20" t="e">
        <f t="shared" si="21"/>
        <v>#REF!</v>
      </c>
      <c r="AF20" t="e">
        <f t="shared" si="22"/>
        <v>#REF!</v>
      </c>
      <c r="AG20" t="e">
        <f t="shared" si="23"/>
        <v>#REF!</v>
      </c>
      <c r="AH20" t="e">
        <f t="shared" si="24"/>
        <v>#REF!</v>
      </c>
      <c r="AI20" t="e">
        <f t="shared" si="25"/>
        <v>#REF!</v>
      </c>
      <c r="AJ20" t="e">
        <f t="shared" si="26"/>
        <v>#REF!</v>
      </c>
      <c r="AK20" t="e">
        <f t="shared" si="27"/>
        <v>#REF!</v>
      </c>
      <c r="AL20" t="e">
        <f t="shared" si="28"/>
        <v>#REF!</v>
      </c>
      <c r="AM20" t="e">
        <f t="shared" si="29"/>
        <v>#REF!</v>
      </c>
      <c r="AN20" t="e">
        <f t="shared" si="30"/>
        <v>#REF!</v>
      </c>
      <c r="AO20" t="e">
        <f t="shared" si="31"/>
        <v>#REF!</v>
      </c>
      <c r="AP20" t="e">
        <f t="shared" si="32"/>
        <v>#REF!</v>
      </c>
    </row>
    <row r="21" spans="1:42" ht="15" customHeight="1" x14ac:dyDescent="0.35">
      <c r="A21">
        <v>20</v>
      </c>
      <c r="B21" t="e">
        <f>IF(#REF!="","",#REF!)</f>
        <v>#REF!</v>
      </c>
      <c r="C21" t="e">
        <f>IF(#REF!="","",#REF!)</f>
        <v>#REF!</v>
      </c>
      <c r="D21" t="e">
        <f>IF(#REF!="","",#REF!)</f>
        <v>#REF!</v>
      </c>
      <c r="E21" t="e">
        <f>IF(#REF!="","",#REF!)</f>
        <v>#REF!</v>
      </c>
      <c r="F21" t="e">
        <f>IF(#REF!="","",#REF!)</f>
        <v>#REF!</v>
      </c>
      <c r="G21" t="e">
        <f>IF(#REF!="","",#REF!)</f>
        <v>#REF!</v>
      </c>
      <c r="H21" t="e">
        <f>IF(#REF!="","",#REF!)</f>
        <v>#REF!</v>
      </c>
      <c r="I21" t="e">
        <f>IF(#REF!="","",#REF!)</f>
        <v>#REF!</v>
      </c>
      <c r="J21" t="e">
        <f t="shared" si="0"/>
        <v>#REF!</v>
      </c>
      <c r="K21" t="e">
        <f t="shared" si="1"/>
        <v>#REF!</v>
      </c>
      <c r="L21" t="e">
        <f t="shared" si="2"/>
        <v>#REF!</v>
      </c>
      <c r="M21" t="e">
        <f t="shared" si="3"/>
        <v>#REF!</v>
      </c>
      <c r="N21" t="e">
        <f t="shared" si="4"/>
        <v>#REF!</v>
      </c>
      <c r="O21" t="e">
        <f t="shared" si="5"/>
        <v>#REF!</v>
      </c>
      <c r="P21" t="e">
        <f t="shared" si="6"/>
        <v>#REF!</v>
      </c>
      <c r="Q21" t="e">
        <f t="shared" si="7"/>
        <v>#REF!</v>
      </c>
      <c r="R21" t="e">
        <f t="shared" si="8"/>
        <v>#REF!</v>
      </c>
      <c r="S21" t="e">
        <f t="shared" si="9"/>
        <v>#REF!</v>
      </c>
      <c r="T21" t="e">
        <f t="shared" si="10"/>
        <v>#REF!</v>
      </c>
      <c r="U21" t="e">
        <f t="shared" si="11"/>
        <v>#REF!</v>
      </c>
      <c r="V21" t="e">
        <f t="shared" si="12"/>
        <v>#REF!</v>
      </c>
      <c r="W21" t="e">
        <f t="shared" si="13"/>
        <v>#REF!</v>
      </c>
      <c r="X21" t="e">
        <f t="shared" si="14"/>
        <v>#REF!</v>
      </c>
      <c r="Y21" t="e">
        <f t="shared" si="15"/>
        <v>#REF!</v>
      </c>
      <c r="Z21" t="e">
        <f t="shared" si="16"/>
        <v>#REF!</v>
      </c>
      <c r="AA21" t="e">
        <f t="shared" si="17"/>
        <v>#REF!</v>
      </c>
      <c r="AB21" t="e">
        <f t="shared" si="18"/>
        <v>#REF!</v>
      </c>
      <c r="AC21" t="e">
        <f t="shared" si="19"/>
        <v>#REF!</v>
      </c>
      <c r="AD21" t="e">
        <f t="shared" si="20"/>
        <v>#REF!</v>
      </c>
      <c r="AE21" t="e">
        <f t="shared" si="21"/>
        <v>#REF!</v>
      </c>
      <c r="AF21" t="e">
        <f t="shared" si="22"/>
        <v>#REF!</v>
      </c>
      <c r="AG21" t="e">
        <f t="shared" si="23"/>
        <v>#REF!</v>
      </c>
      <c r="AH21" t="e">
        <f t="shared" si="24"/>
        <v>#REF!</v>
      </c>
      <c r="AI21" t="e">
        <f t="shared" si="25"/>
        <v>#REF!</v>
      </c>
      <c r="AJ21" t="e">
        <f t="shared" si="26"/>
        <v>#REF!</v>
      </c>
      <c r="AK21" t="e">
        <f t="shared" si="27"/>
        <v>#REF!</v>
      </c>
      <c r="AL21" t="e">
        <f t="shared" si="28"/>
        <v>#REF!</v>
      </c>
      <c r="AM21" t="e">
        <f t="shared" si="29"/>
        <v>#REF!</v>
      </c>
      <c r="AN21" t="e">
        <f t="shared" si="30"/>
        <v>#REF!</v>
      </c>
      <c r="AO21" t="e">
        <f t="shared" si="31"/>
        <v>#REF!</v>
      </c>
      <c r="AP21" t="e">
        <f t="shared" si="32"/>
        <v>#REF!</v>
      </c>
    </row>
    <row r="22" spans="1:42" ht="15" customHeight="1" x14ac:dyDescent="0.35">
      <c r="A22">
        <v>21</v>
      </c>
      <c r="B22" t="e">
        <f>IF(#REF!="","",#REF!)</f>
        <v>#REF!</v>
      </c>
      <c r="C22" t="e">
        <f>IF(#REF!="","",#REF!)</f>
        <v>#REF!</v>
      </c>
      <c r="D22" t="e">
        <f>IF(#REF!="","",#REF!)</f>
        <v>#REF!</v>
      </c>
      <c r="E22" t="e">
        <f>IF(#REF!="","",#REF!)</f>
        <v>#REF!</v>
      </c>
      <c r="F22" t="e">
        <f>IF(#REF!="","",#REF!)</f>
        <v>#REF!</v>
      </c>
      <c r="G22" t="e">
        <f>IF(#REF!="","",#REF!)</f>
        <v>#REF!</v>
      </c>
      <c r="H22" t="e">
        <f>IF(#REF!="","",#REF!)</f>
        <v>#REF!</v>
      </c>
      <c r="I22" t="e">
        <f>IF(#REF!="","",#REF!)</f>
        <v>#REF!</v>
      </c>
      <c r="J22" t="e">
        <f t="shared" si="0"/>
        <v>#REF!</v>
      </c>
      <c r="K22" t="e">
        <f t="shared" si="1"/>
        <v>#REF!</v>
      </c>
      <c r="L22" t="e">
        <f t="shared" si="2"/>
        <v>#REF!</v>
      </c>
      <c r="M22" t="e">
        <f t="shared" si="3"/>
        <v>#REF!</v>
      </c>
      <c r="N22" t="e">
        <f t="shared" si="4"/>
        <v>#REF!</v>
      </c>
      <c r="O22" t="e">
        <f t="shared" si="5"/>
        <v>#REF!</v>
      </c>
      <c r="P22" t="e">
        <f t="shared" si="6"/>
        <v>#REF!</v>
      </c>
      <c r="Q22" t="e">
        <f t="shared" si="7"/>
        <v>#REF!</v>
      </c>
      <c r="R22" t="e">
        <f t="shared" si="8"/>
        <v>#REF!</v>
      </c>
      <c r="S22" t="e">
        <f t="shared" si="9"/>
        <v>#REF!</v>
      </c>
      <c r="T22" t="e">
        <f t="shared" si="10"/>
        <v>#REF!</v>
      </c>
      <c r="U22" t="e">
        <f t="shared" si="11"/>
        <v>#REF!</v>
      </c>
      <c r="V22" t="e">
        <f t="shared" si="12"/>
        <v>#REF!</v>
      </c>
      <c r="W22" t="e">
        <f t="shared" si="13"/>
        <v>#REF!</v>
      </c>
      <c r="X22" t="e">
        <f t="shared" si="14"/>
        <v>#REF!</v>
      </c>
      <c r="Y22" t="e">
        <f t="shared" si="15"/>
        <v>#REF!</v>
      </c>
      <c r="Z22" t="e">
        <f t="shared" si="16"/>
        <v>#REF!</v>
      </c>
      <c r="AA22" t="e">
        <f t="shared" si="17"/>
        <v>#REF!</v>
      </c>
      <c r="AB22" t="e">
        <f t="shared" si="18"/>
        <v>#REF!</v>
      </c>
      <c r="AC22" t="e">
        <f t="shared" si="19"/>
        <v>#REF!</v>
      </c>
      <c r="AD22" t="e">
        <f t="shared" si="20"/>
        <v>#REF!</v>
      </c>
      <c r="AE22" t="e">
        <f t="shared" si="21"/>
        <v>#REF!</v>
      </c>
      <c r="AF22" t="e">
        <f t="shared" si="22"/>
        <v>#REF!</v>
      </c>
      <c r="AG22" t="e">
        <f t="shared" si="23"/>
        <v>#REF!</v>
      </c>
      <c r="AH22" t="e">
        <f t="shared" si="24"/>
        <v>#REF!</v>
      </c>
      <c r="AI22" t="e">
        <f t="shared" si="25"/>
        <v>#REF!</v>
      </c>
      <c r="AJ22" t="e">
        <f t="shared" si="26"/>
        <v>#REF!</v>
      </c>
      <c r="AK22" t="e">
        <f t="shared" si="27"/>
        <v>#REF!</v>
      </c>
      <c r="AL22" t="e">
        <f t="shared" si="28"/>
        <v>#REF!</v>
      </c>
      <c r="AM22" t="e">
        <f t="shared" si="29"/>
        <v>#REF!</v>
      </c>
      <c r="AN22" t="e">
        <f t="shared" si="30"/>
        <v>#REF!</v>
      </c>
      <c r="AO22" t="e">
        <f t="shared" si="31"/>
        <v>#REF!</v>
      </c>
      <c r="AP22" t="e">
        <f t="shared" si="32"/>
        <v>#REF!</v>
      </c>
    </row>
    <row r="23" spans="1:42" ht="15" customHeight="1" x14ac:dyDescent="0.35">
      <c r="A23">
        <v>22</v>
      </c>
      <c r="B23" t="e">
        <f>IF(#REF!="","",#REF!)</f>
        <v>#REF!</v>
      </c>
      <c r="C23" t="e">
        <f>IF(#REF!="","",#REF!)</f>
        <v>#REF!</v>
      </c>
      <c r="D23" t="e">
        <f>IF(#REF!="","",#REF!)</f>
        <v>#REF!</v>
      </c>
      <c r="E23" t="e">
        <f>IF(#REF!="","",#REF!)</f>
        <v>#REF!</v>
      </c>
      <c r="F23" t="e">
        <f>IF(#REF!="","",#REF!)</f>
        <v>#REF!</v>
      </c>
      <c r="G23" t="e">
        <f>IF(#REF!="","",#REF!)</f>
        <v>#REF!</v>
      </c>
      <c r="H23" t="e">
        <f>IF(#REF!="","",#REF!)</f>
        <v>#REF!</v>
      </c>
      <c r="I23" t="e">
        <f>IF(#REF!="","",#REF!)</f>
        <v>#REF!</v>
      </c>
      <c r="J23" t="e">
        <f t="shared" si="0"/>
        <v>#REF!</v>
      </c>
      <c r="K23" t="e">
        <f t="shared" si="1"/>
        <v>#REF!</v>
      </c>
      <c r="L23" t="e">
        <f t="shared" si="2"/>
        <v>#REF!</v>
      </c>
      <c r="M23" t="e">
        <f t="shared" si="3"/>
        <v>#REF!</v>
      </c>
      <c r="N23" t="e">
        <f t="shared" si="4"/>
        <v>#REF!</v>
      </c>
      <c r="O23" t="e">
        <f t="shared" si="5"/>
        <v>#REF!</v>
      </c>
      <c r="P23" t="e">
        <f t="shared" si="6"/>
        <v>#REF!</v>
      </c>
      <c r="Q23" t="e">
        <f t="shared" si="7"/>
        <v>#REF!</v>
      </c>
      <c r="R23" t="e">
        <f t="shared" si="8"/>
        <v>#REF!</v>
      </c>
      <c r="S23" t="e">
        <f t="shared" si="9"/>
        <v>#REF!</v>
      </c>
      <c r="T23" t="e">
        <f t="shared" si="10"/>
        <v>#REF!</v>
      </c>
      <c r="U23" t="e">
        <f t="shared" si="11"/>
        <v>#REF!</v>
      </c>
      <c r="V23" t="e">
        <f t="shared" si="12"/>
        <v>#REF!</v>
      </c>
      <c r="W23" t="e">
        <f t="shared" si="13"/>
        <v>#REF!</v>
      </c>
      <c r="X23" t="e">
        <f t="shared" si="14"/>
        <v>#REF!</v>
      </c>
      <c r="Y23" t="e">
        <f t="shared" si="15"/>
        <v>#REF!</v>
      </c>
      <c r="Z23" t="e">
        <f t="shared" si="16"/>
        <v>#REF!</v>
      </c>
      <c r="AA23" t="e">
        <f t="shared" si="17"/>
        <v>#REF!</v>
      </c>
      <c r="AB23" t="e">
        <f t="shared" si="18"/>
        <v>#REF!</v>
      </c>
      <c r="AC23" t="e">
        <f t="shared" si="19"/>
        <v>#REF!</v>
      </c>
      <c r="AD23" t="e">
        <f t="shared" si="20"/>
        <v>#REF!</v>
      </c>
      <c r="AE23" t="e">
        <f t="shared" si="21"/>
        <v>#REF!</v>
      </c>
      <c r="AF23" t="e">
        <f t="shared" si="22"/>
        <v>#REF!</v>
      </c>
      <c r="AG23" t="e">
        <f t="shared" si="23"/>
        <v>#REF!</v>
      </c>
      <c r="AH23" t="e">
        <f t="shared" si="24"/>
        <v>#REF!</v>
      </c>
      <c r="AI23" t="e">
        <f t="shared" si="25"/>
        <v>#REF!</v>
      </c>
      <c r="AJ23" t="e">
        <f t="shared" si="26"/>
        <v>#REF!</v>
      </c>
      <c r="AK23" t="e">
        <f t="shared" si="27"/>
        <v>#REF!</v>
      </c>
      <c r="AL23" t="e">
        <f t="shared" si="28"/>
        <v>#REF!</v>
      </c>
      <c r="AM23" t="e">
        <f t="shared" si="29"/>
        <v>#REF!</v>
      </c>
      <c r="AN23" t="e">
        <f t="shared" si="30"/>
        <v>#REF!</v>
      </c>
      <c r="AO23" t="e">
        <f t="shared" si="31"/>
        <v>#REF!</v>
      </c>
      <c r="AP23" t="e">
        <f t="shared" si="32"/>
        <v>#REF!</v>
      </c>
    </row>
    <row r="24" spans="1:42" ht="15" customHeight="1" x14ac:dyDescent="0.35">
      <c r="A24">
        <v>23</v>
      </c>
      <c r="B24" t="e">
        <f>IF(#REF!="","",#REF!)</f>
        <v>#REF!</v>
      </c>
      <c r="C24" t="e">
        <f>IF(#REF!="","",#REF!)</f>
        <v>#REF!</v>
      </c>
      <c r="D24" t="e">
        <f>IF(#REF!="","",#REF!)</f>
        <v>#REF!</v>
      </c>
      <c r="E24" t="e">
        <f>IF(#REF!="","",#REF!)</f>
        <v>#REF!</v>
      </c>
      <c r="F24" t="e">
        <f>IF(#REF!="","",#REF!)</f>
        <v>#REF!</v>
      </c>
      <c r="G24" t="e">
        <f>IF(#REF!="","",#REF!)</f>
        <v>#REF!</v>
      </c>
      <c r="H24" t="e">
        <f>IF(#REF!="","",#REF!)</f>
        <v>#REF!</v>
      </c>
      <c r="I24" t="e">
        <f>IF(#REF!="","",#REF!)</f>
        <v>#REF!</v>
      </c>
      <c r="J24" t="e">
        <f t="shared" si="0"/>
        <v>#REF!</v>
      </c>
      <c r="K24" t="e">
        <f t="shared" si="1"/>
        <v>#REF!</v>
      </c>
      <c r="L24" t="e">
        <f t="shared" si="2"/>
        <v>#REF!</v>
      </c>
      <c r="M24" t="e">
        <f t="shared" si="3"/>
        <v>#REF!</v>
      </c>
      <c r="N24" t="e">
        <f t="shared" si="4"/>
        <v>#REF!</v>
      </c>
      <c r="O24" t="e">
        <f t="shared" si="5"/>
        <v>#REF!</v>
      </c>
      <c r="P24" t="e">
        <f t="shared" si="6"/>
        <v>#REF!</v>
      </c>
      <c r="Q24" t="e">
        <f t="shared" si="7"/>
        <v>#REF!</v>
      </c>
      <c r="R24" t="e">
        <f t="shared" si="8"/>
        <v>#REF!</v>
      </c>
      <c r="S24" t="e">
        <f t="shared" si="9"/>
        <v>#REF!</v>
      </c>
      <c r="T24" t="e">
        <f t="shared" si="10"/>
        <v>#REF!</v>
      </c>
      <c r="U24" t="e">
        <f t="shared" si="11"/>
        <v>#REF!</v>
      </c>
      <c r="V24" t="e">
        <f t="shared" si="12"/>
        <v>#REF!</v>
      </c>
      <c r="W24" t="e">
        <f t="shared" si="13"/>
        <v>#REF!</v>
      </c>
      <c r="X24" t="e">
        <f t="shared" si="14"/>
        <v>#REF!</v>
      </c>
      <c r="Y24" t="e">
        <f t="shared" si="15"/>
        <v>#REF!</v>
      </c>
      <c r="Z24" t="e">
        <f t="shared" si="16"/>
        <v>#REF!</v>
      </c>
      <c r="AA24" t="e">
        <f t="shared" si="17"/>
        <v>#REF!</v>
      </c>
      <c r="AB24" t="e">
        <f t="shared" si="18"/>
        <v>#REF!</v>
      </c>
      <c r="AC24" t="e">
        <f t="shared" si="19"/>
        <v>#REF!</v>
      </c>
      <c r="AD24" t="e">
        <f t="shared" si="20"/>
        <v>#REF!</v>
      </c>
      <c r="AE24" t="e">
        <f t="shared" si="21"/>
        <v>#REF!</v>
      </c>
      <c r="AF24" t="e">
        <f t="shared" si="22"/>
        <v>#REF!</v>
      </c>
      <c r="AG24" t="e">
        <f t="shared" si="23"/>
        <v>#REF!</v>
      </c>
      <c r="AH24" t="e">
        <f t="shared" si="24"/>
        <v>#REF!</v>
      </c>
      <c r="AI24" t="e">
        <f t="shared" si="25"/>
        <v>#REF!</v>
      </c>
      <c r="AJ24" t="e">
        <f t="shared" si="26"/>
        <v>#REF!</v>
      </c>
      <c r="AK24" t="e">
        <f t="shared" si="27"/>
        <v>#REF!</v>
      </c>
      <c r="AL24" t="e">
        <f t="shared" si="28"/>
        <v>#REF!</v>
      </c>
      <c r="AM24" t="e">
        <f t="shared" si="29"/>
        <v>#REF!</v>
      </c>
      <c r="AN24" t="e">
        <f t="shared" si="30"/>
        <v>#REF!</v>
      </c>
      <c r="AO24" t="e">
        <f t="shared" si="31"/>
        <v>#REF!</v>
      </c>
      <c r="AP24" t="e">
        <f t="shared" si="32"/>
        <v>#REF!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Heat Map</vt:lpstr>
      <vt:lpstr>Sheet4</vt:lpstr>
      <vt:lpstr>413 Prediction vs Actual</vt:lpstr>
      <vt:lpstr>414 Prediction vs Actual</vt:lpstr>
      <vt:lpstr>415 Prediction vs Actual</vt:lpstr>
      <vt:lpstr>416 Prediction vs Actual </vt:lpstr>
      <vt:lpstr>Sheet3</vt:lpstr>
      <vt:lpstr>Calc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Naranasamy, Muhammad Nazri</dc:creator>
  <cp:keywords/>
  <dc:description/>
  <cp:lastModifiedBy>Naranasamy, Muhammad Nazri</cp:lastModifiedBy>
  <cp:revision>5</cp:revision>
  <dcterms:created xsi:type="dcterms:W3CDTF">2026-08-28T03:28:22Z</dcterms:created>
  <dcterms:modified xsi:type="dcterms:W3CDTF">2026-09-01T07:09:54Z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38901aa-f724-46bf-bb4f-aef09392934b_Enabled">
    <vt:lpwstr>true</vt:lpwstr>
  </property>
  <property fmtid="{D5CDD505-2E9C-101B-9397-08002B2CF9AE}" pid="3" name="MSIP_Label_d38901aa-f724-46bf-bb4f-aef09392934b_SetDate">
    <vt:lpwstr>2026-08-29T15:25:18Z</vt:lpwstr>
  </property>
  <property fmtid="{D5CDD505-2E9C-101B-9397-08002B2CF9AE}" pid="4" name="MSIP_Label_d38901aa-f724-46bf-bb4f-aef09392934b_Method">
    <vt:lpwstr>Standard</vt:lpwstr>
  </property>
  <property fmtid="{D5CDD505-2E9C-101B-9397-08002B2CF9AE}" pid="5" name="MSIP_Label_d38901aa-f724-46bf-bb4f-aef09392934b_Name">
    <vt:lpwstr>Internal - No Label</vt:lpwstr>
  </property>
  <property fmtid="{D5CDD505-2E9C-101B-9397-08002B2CF9AE}" pid="6" name="MSIP_Label_d38901aa-f724-46bf-bb4f-aef09392934b_SiteId">
    <vt:lpwstr>eb06985d-06ca-4a17-81da-629ab99f6505</vt:lpwstr>
  </property>
  <property fmtid="{D5CDD505-2E9C-101B-9397-08002B2CF9AE}" pid="7" name="MSIP_Label_d38901aa-f724-46bf-bb4f-aef09392934b_ActionId">
    <vt:lpwstr>7fa64b05-500f-4a51-b16a-9b8cf192b130</vt:lpwstr>
  </property>
  <property fmtid="{D5CDD505-2E9C-101B-9397-08002B2CF9AE}" pid="8" name="MSIP_Label_d38901aa-f724-46bf-bb4f-aef09392934b_ContentBits">
    <vt:lpwstr>0</vt:lpwstr>
  </property>
  <property fmtid="{D5CDD505-2E9C-101B-9397-08002B2CF9AE}" pid="9" name="MSIP_Label_d38901aa-f724-46bf-bb4f-aef09392934b_Tag">
    <vt:lpwstr>10, 3, 0, 1</vt:lpwstr>
  </property>
</Properties>
</file>